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ask Plan" sheetId="1" state="visible" r:id="rId1"/>
    <sheet xmlns:r="http://schemas.openxmlformats.org/officeDocument/2006/relationships" name="Gantt"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m/d"/>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666666"/>
      <sz val="10"/>
    </font>
    <font>
      <name val="Arial"/>
      <charset val="1"/>
      <family val="0"/>
      <b val="1"/>
      <sz val="11"/>
    </font>
    <font>
      <name val="Arial"/>
      <charset val="1"/>
      <family val="0"/>
      <color rgb="FF0000FF"/>
      <sz val="11"/>
    </font>
    <font>
      <name val="Arial"/>
      <charset val="1"/>
      <family val="0"/>
      <b val="1"/>
      <color rgb="FFFFFFFF"/>
      <sz val="11"/>
    </font>
    <font>
      <name val="Arial"/>
      <charset val="1"/>
      <family val="0"/>
      <sz val="11"/>
    </font>
    <font>
      <name val="Arial"/>
      <charset val="1"/>
      <family val="0"/>
      <sz val="9"/>
    </font>
    <font>
      <name val="Arial"/>
      <charset val="1"/>
      <family val="0"/>
      <i val="1"/>
      <sz val="9"/>
    </font>
    <font>
      <name val="Arial"/>
      <charset val="1"/>
      <family val="0"/>
      <color rgb="FF1F5C2E"/>
      <sz val="9"/>
    </font>
    <font>
      <name val="Arial"/>
      <charset val="1"/>
      <family val="0"/>
      <color rgb="FF999999"/>
      <sz val="7"/>
    </font>
    <font>
      <name val="Arial"/>
      <charset val="1"/>
      <family val="0"/>
      <b val="1"/>
      <sz val="8"/>
    </font>
    <font>
      <name val="Arial"/>
      <charset val="1"/>
      <family val="0"/>
      <color rgb="FFAAAAAA"/>
      <sz val="8"/>
    </font>
  </fonts>
  <fills count="14">
    <fill>
      <patternFill/>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64" fontId="7" fillId="2" borderId="0" applyAlignment="1" pivotButton="0" quotePrefix="0" xfId="0">
      <alignment horizontal="general" vertical="bottom"/>
    </xf>
    <xf numFmtId="164" fontId="0" fillId="0" borderId="0" applyAlignment="1" pivotButton="0" quotePrefix="0" xfId="0">
      <alignment horizontal="general" vertical="bottom"/>
    </xf>
    <xf numFmtId="0" fontId="8" fillId="3" borderId="0" applyAlignment="1" pivotButton="0" quotePrefix="0" xfId="0">
      <alignment horizontal="general" vertical="center" wrapText="1"/>
    </xf>
    <xf numFmtId="0" fontId="9" fillId="0" borderId="0" applyAlignment="1" pivotButton="0" quotePrefix="0" xfId="0">
      <alignment horizontal="general" vertical="bottom"/>
    </xf>
    <xf numFmtId="0" fontId="9" fillId="4" borderId="0" applyAlignment="1" pivotButton="0" quotePrefix="0" xfId="0">
      <alignment horizontal="general" vertical="bottom"/>
    </xf>
    <xf numFmtId="0" fontId="6" fillId="5" borderId="0" applyAlignment="1" pivotButton="0" quotePrefix="0" xfId="0">
      <alignment horizontal="general" vertical="bottom"/>
    </xf>
    <xf numFmtId="0" fontId="7" fillId="2" borderId="0" applyAlignment="1" pivotButton="0" quotePrefix="0" xfId="0">
      <alignment horizontal="general" vertical="bottom"/>
    </xf>
    <xf numFmtId="164" fontId="9"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6" fillId="6" borderId="0" applyAlignment="1" pivotButton="0" quotePrefix="0" xfId="0">
      <alignment horizontal="general" vertical="bottom"/>
    </xf>
    <xf numFmtId="0" fontId="9" fillId="7" borderId="0" applyAlignment="1" pivotButton="0" quotePrefix="0" xfId="0">
      <alignment horizontal="general" vertical="bottom"/>
    </xf>
    <xf numFmtId="0" fontId="9" fillId="8" borderId="0" applyAlignment="1" pivotButton="0" quotePrefix="0" xfId="0">
      <alignment horizontal="general" vertical="bottom"/>
    </xf>
    <xf numFmtId="0" fontId="9" fillId="9" borderId="0" applyAlignment="1" pivotButton="0" quotePrefix="0" xfId="0">
      <alignment horizontal="general" vertical="bottom"/>
    </xf>
    <xf numFmtId="0" fontId="8" fillId="10" borderId="0" applyAlignment="1" pivotButton="0" quotePrefix="0" xfId="0">
      <alignment horizontal="general" vertical="bottom"/>
    </xf>
    <xf numFmtId="0" fontId="8" fillId="11" borderId="0" applyAlignment="1" pivotButton="0" quotePrefix="0" xfId="0">
      <alignment horizontal="general" vertical="bottom"/>
    </xf>
    <xf numFmtId="0" fontId="8" fillId="12" borderId="0" applyAlignment="1" pivotButton="0" quotePrefix="0" xfId="0">
      <alignment horizontal="general" vertical="bottom"/>
    </xf>
    <xf numFmtId="0" fontId="8" fillId="13" borderId="0" applyAlignment="1" pivotButton="0" quotePrefix="0" xfId="0">
      <alignment horizontal="general" vertical="bottom"/>
    </xf>
    <xf numFmtId="0" fontId="8" fillId="3" borderId="0" applyAlignment="1" pivotButton="0" quotePrefix="0" xfId="0">
      <alignment horizontal="general" vertical="bottom"/>
    </xf>
    <xf numFmtId="0" fontId="13" fillId="0" borderId="0" applyAlignment="1" pivotButton="0" quotePrefix="0" xfId="0">
      <alignment horizontal="center" vertical="bottom"/>
    </xf>
    <xf numFmtId="0" fontId="14" fillId="0" borderId="0" applyAlignment="1" pivotButton="0" quotePrefix="0" xfId="0">
      <alignment horizontal="general" vertical="bottom"/>
    </xf>
    <xf numFmtId="165" fontId="13" fillId="0" borderId="0" applyAlignment="1" pivotButton="0" quotePrefix="0" xfId="0">
      <alignment horizontal="center" vertical="bottom" textRotation="90"/>
    </xf>
    <xf numFmtId="0" fontId="9" fillId="0" borderId="0" applyAlignment="1" pivotButton="0" quotePrefix="0" xfId="0">
      <alignment horizontal="general" vertical="center"/>
    </xf>
    <xf numFmtId="0" fontId="10"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64" fontId="7" fillId="2" borderId="0" applyAlignment="1" pivotButton="0" quotePrefix="0" xfId="0">
      <alignment horizontal="general" vertical="bottom"/>
    </xf>
    <xf numFmtId="164" fontId="0" fillId="0" borderId="0" applyAlignment="1" pivotButton="0" quotePrefix="0" xfId="0">
      <alignment horizontal="general" vertical="bottom"/>
    </xf>
    <xf numFmtId="0" fontId="8" fillId="3" borderId="0" applyAlignment="1" pivotButton="0" quotePrefix="0" xfId="0">
      <alignment horizontal="general" vertical="center" wrapText="1"/>
    </xf>
    <xf numFmtId="0" fontId="9" fillId="0" borderId="0" applyAlignment="1" pivotButton="0" quotePrefix="0" xfId="0">
      <alignment horizontal="general" vertical="bottom"/>
    </xf>
    <xf numFmtId="0" fontId="9" fillId="4" borderId="0" applyAlignment="1" pivotButton="0" quotePrefix="0" xfId="0">
      <alignment horizontal="general" vertical="bottom"/>
    </xf>
    <xf numFmtId="0" fontId="6" fillId="5" borderId="0" applyAlignment="1" pivotButton="0" quotePrefix="0" xfId="0">
      <alignment horizontal="general" vertical="bottom"/>
    </xf>
    <xf numFmtId="0" fontId="7" fillId="2" borderId="0" applyAlignment="1" pivotButton="0" quotePrefix="0" xfId="0">
      <alignment horizontal="general" vertical="bottom"/>
    </xf>
    <xf numFmtId="164" fontId="9"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6" fillId="6" borderId="0" applyAlignment="1" pivotButton="0" quotePrefix="0" xfId="0">
      <alignment horizontal="general" vertical="bottom"/>
    </xf>
    <xf numFmtId="0" fontId="9" fillId="7" borderId="0" applyAlignment="1" pivotButton="0" quotePrefix="0" xfId="0">
      <alignment horizontal="general" vertical="bottom"/>
    </xf>
    <xf numFmtId="0" fontId="9" fillId="8" borderId="0" applyAlignment="1" pivotButton="0" quotePrefix="0" xfId="0">
      <alignment horizontal="general" vertical="bottom"/>
    </xf>
    <xf numFmtId="0" fontId="9" fillId="9" borderId="0" applyAlignment="1" pivotButton="0" quotePrefix="0" xfId="0">
      <alignment horizontal="general" vertical="bottom"/>
    </xf>
    <xf numFmtId="0" fontId="8" fillId="10" borderId="0" applyAlignment="1" pivotButton="0" quotePrefix="0" xfId="0">
      <alignment horizontal="general" vertical="bottom"/>
    </xf>
    <xf numFmtId="0" fontId="8" fillId="11" borderId="0" applyAlignment="1" pivotButton="0" quotePrefix="0" xfId="0">
      <alignment horizontal="general" vertical="bottom"/>
    </xf>
    <xf numFmtId="0" fontId="8" fillId="12" borderId="0" applyAlignment="1" pivotButton="0" quotePrefix="0" xfId="0">
      <alignment horizontal="general" vertical="bottom"/>
    </xf>
    <xf numFmtId="0" fontId="8" fillId="13" borderId="0" applyAlignment="1" pivotButton="0" quotePrefix="0" xfId="0">
      <alignment horizontal="general" vertical="bottom"/>
    </xf>
    <xf numFmtId="0" fontId="8" fillId="3" borderId="0" applyAlignment="1" pivotButton="0" quotePrefix="0" xfId="0">
      <alignment horizontal="general" vertical="bottom"/>
    </xf>
    <xf numFmtId="0" fontId="13" fillId="0" borderId="0" applyAlignment="1" pivotButton="0" quotePrefix="0" xfId="0">
      <alignment horizontal="center" vertical="bottom"/>
    </xf>
    <xf numFmtId="0" fontId="14" fillId="0" borderId="0" applyAlignment="1" pivotButton="0" quotePrefix="0" xfId="0">
      <alignment horizontal="general" vertical="bottom"/>
    </xf>
    <xf numFmtId="165" fontId="13" fillId="0" borderId="0" applyAlignment="1" pivotButton="0" quotePrefix="0" xfId="0">
      <alignment horizontal="center" vertical="bottom" textRotation="90"/>
    </xf>
    <xf numFmtId="0" fontId="9" fillId="0" borderId="0" applyAlignment="1" pivotButton="0" quotePrefix="0" xfId="0">
      <alignment horizontal="general" vertical="center"/>
    </xf>
    <xf numFmtId="0" fontId="10" fillId="0" borderId="0" applyAlignment="1" pivotButton="0" quotePrefix="0" xfId="0">
      <alignment horizontal="general" vertical="bottom"/>
    </xf>
    <xf numFmtId="0" fontId="1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43"/>
  <sheetViews>
    <sheetView showFormulas="0" showGridLines="1" showRowColHeaders="1" showZeros="1" rightToLeft="0" tabSelected="1"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1" min="1" max="1"/>
    <col width="26" customWidth="1" style="31" min="2" max="2"/>
    <col width="15" customWidth="1" style="31" min="3" max="3"/>
    <col width="13" customWidth="1" style="31" min="4" max="4"/>
    <col width="14" customWidth="1" style="31" min="5" max="5"/>
    <col width="12" customWidth="1" style="31" min="6" max="6"/>
    <col width="10" customWidth="1" style="31" min="7" max="8"/>
    <col width="12" customWidth="1" style="31" min="9" max="10"/>
    <col width="30" customWidth="1" style="31" min="11" max="11"/>
    <col width="34" customWidth="1" style="31" min="12" max="12"/>
    <col width="40" customWidth="1" style="31" min="13" max="13"/>
    <col width="44" customWidth="1" style="31" min="14" max="14"/>
  </cols>
  <sheetData>
    <row r="1" ht="17.25" customHeight="1" s="32">
      <c r="A1" s="33" t="inlineStr">
        <is>
          <t>Health Docket — Repo Restructuring Gantt</t>
        </is>
      </c>
    </row>
    <row r="2" ht="15" customHeight="1" s="32">
      <c r="A2" s="34" t="inlineStr">
        <is>
          <t>Edit yellow cells only: Status, and Duration/Manual Start where shown. Everything else recalculates. Task list/phases/dependencies from policy-docket-design-spec.docx §8 (spec of record); durations are Claude's estimates, not from the spec.</t>
        </is>
      </c>
    </row>
    <row r="3">
      <c r="A3" t="inlineStr">
        <is>
          <t>STATUS: All 10 tasks Done — build plan complete 2026-09-20. Live at https://health-docket-api.onrender.com. See pm/STATUS.md and the Session Log below for details.</t>
        </is>
      </c>
    </row>
    <row r="4" ht="15" customHeight="1" s="32">
      <c r="A4" s="35" t="inlineStr">
        <is>
          <t>Project Start Date</t>
        </is>
      </c>
      <c r="B4" s="36" t="inlineStr">
        <is>
          <t>2026-09-22</t>
        </is>
      </c>
    </row>
    <row r="5" ht="15" customHeight="1" s="32">
      <c r="A5" s="35" t="inlineStr">
        <is>
          <t>As of / today</t>
        </is>
      </c>
      <c r="B5" s="37">
        <f>TODAY()</f>
        <v/>
      </c>
    </row>
    <row r="7" ht="51.75" customHeight="1" s="32">
      <c r="A7" s="38" t="inlineStr">
        <is>
          <t>ID</t>
        </is>
      </c>
      <c r="B7" s="38" t="inlineStr">
        <is>
          <t>Task</t>
        </is>
      </c>
      <c r="C7" s="38" t="inlineStr">
        <is>
          <t>Phase</t>
        </is>
      </c>
      <c r="D7" s="38" t="inlineStr">
        <is>
          <t>Status</t>
        </is>
      </c>
      <c r="E7" s="38" t="inlineStr">
        <is>
          <t>Predecessor(s)</t>
        </is>
      </c>
      <c r="F7" s="38" t="inlineStr">
        <is>
          <t>Duration (days, Claude's estimate)</t>
        </is>
      </c>
      <c r="G7" s="38" t="inlineStr">
        <is>
          <t>Start Offset</t>
        </is>
      </c>
      <c r="H7" s="38" t="inlineStr">
        <is>
          <t>End Offset</t>
        </is>
      </c>
      <c r="I7" s="38" t="inlineStr">
        <is>
          <t>Start Date</t>
        </is>
      </c>
      <c r="J7" s="38" t="inlineStr">
        <is>
          <t>End Date</t>
        </is>
      </c>
      <c r="K7" s="38" t="inlineStr">
        <is>
          <t>Files this task creates/changes</t>
        </is>
      </c>
      <c r="L7" s="38" t="inlineStr">
        <is>
          <t>Notes</t>
        </is>
      </c>
      <c r="M7" s="38" t="inlineStr">
        <is>
          <t>Design reference (policy-docket-design-spec.docx)</t>
        </is>
      </c>
      <c r="N7" s="38" t="inlineStr">
        <is>
          <t>Verify done (run this yourself)</t>
        </is>
      </c>
    </row>
    <row r="8" ht="31.5" customHeight="1" s="32">
      <c r="A8" s="39" t="n">
        <v>1</v>
      </c>
      <c r="B8" s="39" t="inlineStr">
        <is>
          <t>Design &amp; migrate schema</t>
        </is>
      </c>
      <c r="C8" s="40" t="inlineStr">
        <is>
          <t>Foundation</t>
        </is>
      </c>
      <c r="D8" s="41" t="inlineStr">
        <is>
          <t>Done</t>
        </is>
      </c>
      <c r="E8" s="39" t="inlineStr">
        <is>
          <t>—</t>
        </is>
      </c>
      <c r="F8" s="42" t="n">
        <v>7</v>
      </c>
      <c r="G8" s="42" t="n">
        <v>0</v>
      </c>
      <c r="H8" s="39">
        <f>G8+F8-1</f>
        <v/>
      </c>
      <c r="I8" s="43">
        <f>$B$4+G8</f>
        <v/>
      </c>
      <c r="J8" s="43">
        <f>$B$4+H8</f>
        <v/>
      </c>
      <c r="K8" s="44" t="inlineStr">
        <is>
          <t>db/schema.sql; db/migrate.py; db/health_docket.db (generated by migrate.py, gitignored — never committed)</t>
        </is>
      </c>
      <c r="L8" s="45" t="inlineStr">
        <is>
          <t>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is>
      </c>
      <c r="M8" s="44" t="inlineStr">
        <is>
          <t>Spec §4 Data Model — column-level detail for bodies/meetings/meeting_documents/meeting_subjects, plus the full 11-table schema in §4 of the earlier system-design.docx.</t>
        </is>
      </c>
      <c r="N8" s="46" t="inlineStr">
        <is>
          <t>Run the migration script; row counts in the new tables must match meetings.json/briefing.json exactly, and every meeting_id/body_id foreign key must resolve — no orphans.</t>
        </is>
      </c>
    </row>
    <row r="9" ht="31.5" customHeight="1" s="32">
      <c r="A9" s="39" t="n">
        <v>2</v>
      </c>
      <c r="B9" s="39" t="inlineStr">
        <is>
          <t>Verify Legistar API access (nnph-dboh)</t>
        </is>
      </c>
      <c r="C9" s="40" t="inlineStr">
        <is>
          <t>Foundation</t>
        </is>
      </c>
      <c r="D9" s="47" t="inlineStr">
        <is>
          <t>Done</t>
        </is>
      </c>
      <c r="E9" s="39" t="inlineStr">
        <is>
          <t>—</t>
        </is>
      </c>
      <c r="F9" s="42" t="n">
        <v>3</v>
      </c>
      <c r="G9" s="42" t="n">
        <v>0</v>
      </c>
      <c r="H9" s="39">
        <f>G9+F9-1</f>
        <v/>
      </c>
      <c r="I9" s="43">
        <f>$B$4+G9</f>
        <v/>
      </c>
      <c r="J9" s="43">
        <f>$B$4+H9</f>
        <v/>
      </c>
      <c r="K9" s="44" t="inlineStr">
        <is>
          <t>scrapers/legistar.py</t>
        </is>
      </c>
      <c r="L9" s="45" t="inlineStr">
        <is>
          <t>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is>
      </c>
      <c r="M9" s="44" t="inlineStr">
        <is>
          <t>Spec §10 Risks &amp; Open Questions — "Legistar API access unconfirmed" row; scrapers/legistar.py already has the webapi.legistar.com attempt + HTML fallback.</t>
        </is>
      </c>
      <c r="N9" s="46" t="inlineStr">
        <is>
          <t>Call webapi.legistar.com/v1/washoe/events directly; confirm it returns real event JSON, not an error. If it fails, run the HTML-fallback path in legistar.py and confirm it returns real meetings for 'Northern Nevada Public Health' (not zero, per the body_name bug above).</t>
        </is>
      </c>
    </row>
    <row r="10" ht="31.5" customHeight="1" s="32">
      <c r="A10" s="39" t="n">
        <v>3</v>
      </c>
      <c r="B10" s="39" t="inlineStr">
        <is>
          <t>Harden NELIS scraper selectors</t>
        </is>
      </c>
      <c r="C10" s="40" t="inlineStr">
        <is>
          <t>Foundation</t>
        </is>
      </c>
      <c r="D10" s="47" t="inlineStr">
        <is>
          <t>Done</t>
        </is>
      </c>
      <c r="E10" s="39" t="inlineStr">
        <is>
          <t>—</t>
        </is>
      </c>
      <c r="F10" s="42" t="n">
        <v>4</v>
      </c>
      <c r="G10" s="42" t="n">
        <v>0</v>
      </c>
      <c r="H10" s="39">
        <f>G10+F10-1</f>
        <v/>
      </c>
      <c r="I10" s="43">
        <f>$B$4+G10</f>
        <v/>
      </c>
      <c r="J10" s="43">
        <f>$B$4+H10</f>
        <v/>
      </c>
      <c r="K10" s="44" t="inlineStr">
        <is>
          <t>scrapers/nelis.py</t>
        </is>
      </c>
      <c r="L10" s="45" t="inlineStr">
        <is>
          <t>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is>
      </c>
      <c r="M10" s="44" t="inlineStr">
        <is>
          <t>Spec §10 Risks &amp; Open Questions — "NELIS selectors unverified... Open — Task 3 in the build plan."</t>
        </is>
      </c>
      <c r="N10" s="46" t="inlineStr">
        <is>
          <t>Run scrapers/nelis.py against the live leg.state.nv.us site; confirm it returns real meeting rows for the Joint Interim Standing Committee on Health &amp; Human Services, not an empty list.</t>
        </is>
      </c>
    </row>
    <row r="11" ht="31.5" customHeight="1" s="32">
      <c r="A11" s="39" t="n">
        <v>4</v>
      </c>
      <c r="B11" s="39" t="inlineStr">
        <is>
          <t>Provision hosting</t>
        </is>
      </c>
      <c r="C11" s="40" t="inlineStr">
        <is>
          <t>Foundation</t>
        </is>
      </c>
      <c r="D11" s="47" t="inlineStr">
        <is>
          <t>Done</t>
        </is>
      </c>
      <c r="E11" s="39" t="inlineStr">
        <is>
          <t>—</t>
        </is>
      </c>
      <c r="F11" s="42" t="n">
        <v>4</v>
      </c>
      <c r="G11" s="42" t="n">
        <v>3</v>
      </c>
      <c r="H11" s="39">
        <f>G11+F11-1</f>
        <v/>
      </c>
      <c r="I11" s="43">
        <f>$B$4+G11</f>
        <v/>
      </c>
      <c r="J11" s="43">
        <f>$B$4+H11</f>
        <v/>
      </c>
      <c r="K11" s="44" t="inlineStr">
        <is>
          <t>deploy/render.yaml (or fly.toml); deploy/.env.example</t>
        </is>
      </c>
      <c r="L11" s="45" t="inlineStr">
        <is>
          <t>Jack created the Render account 2026-09-19 — that part genuinely needed him (billing/signup), and it's done. Corrected 2026-09-19: the earlier plan on this row (Postgres add-on) was wrong — it didn't match the design spec (§5.1 recommends SQLite outright, Postgres only if this becomes multi-user or write volume grows a lot, neither true here) or the code Task 5 actually wrote (plain sqlite3, no Postgres driver). Corrected plan: SQLite on a small persistent disk instead. deploy/render.yaml written and committed: web service (plan 0.5c-512mb, /mo) + a 1GB persistent disk (/bin/bash.25/mo) = ~$7.25/mo, cheaper than the old Postgres plan and still within the spec's $5-15/mo ceiling (NFR2). api/db.py and db/migrate.py updated to read the DB path from a DATABASE_PATH env var (falls back to the old repo-relative default for local dev) so the database can live on the disk in production; this surfaced and fixed a real bug (a status-line print that crashed when the DB path was outside the repo). initialDeployHook runs db/migrate.py once on first deploy only, so later redeploys don't wipe Jack's saved focus_areas. Simulated the whole deploy locally (built the DB at an out-of-repo path via DATABASE_PATH, ran the server against it, confirmed /api/health, /api/policy-areas, and a real POST /api/focus-areas all work). Still needs Jack to actually create the Blueprint in the Render dashboard (New -&gt; Blueprint -&gt; connect the GitHub repo) since approving a paid plan is his call, then this task's Verify done check can run against the real live URL. Deployed live 2026-09-19: health-docket-api is running on Render at https://health-docket-api.onrender.com. Hit a real deploy bug along the way -- the first live deploy came up degraded (database file missing) because Render's initialDeployHook runs after the health check already reports success, and ours reports "degraded" instead of failing outright, so Render called the deploy done before the database got built. Fixed by building the database directly in startCommand, before the server opens for traffic, only when the file is missing (so a real restart won't wipe Jack's saved focus_areas). Verify done check passed: hit the live URL from an outside network (WebFetch, not Jack's Mac) -- /api/health returns {"status":"ok","database":"reachable"}, /api/policy-areas returns all 32 real policy areas. Task 4 Done.</t>
        </is>
      </c>
      <c r="M11" s="44" t="inlineStr">
        <is>
          <t>Spec §9.3 Rough cost estimate — hosting ~$5-10/mo (Render, Railway, Fly.io, or a cheap VPS).</t>
        </is>
      </c>
      <c r="N11" s="46" t="inlineStr">
        <is>
          <t>Hit the hosted app's URL from a browser with no VPN, on a different network than Jack's Mac; confirm it actually responds, not just reachable on localhost.</t>
        </is>
      </c>
    </row>
    <row r="12" ht="31.5" customHeight="1" s="32">
      <c r="A12" s="39" t="n">
        <v>5</v>
      </c>
      <c r="B12" s="39" t="inlineStr">
        <is>
          <t>Backend API</t>
        </is>
      </c>
      <c r="C12" s="48" t="inlineStr">
        <is>
          <t>Backend/Frontend</t>
        </is>
      </c>
      <c r="D12" s="47" t="inlineStr">
        <is>
          <t>Done</t>
        </is>
      </c>
      <c r="E12" s="39" t="inlineStr">
        <is>
          <t>T1</t>
        </is>
      </c>
      <c r="F12" s="42" t="n">
        <v>10</v>
      </c>
      <c r="G12" s="39">
        <f>$H$8+1</f>
        <v/>
      </c>
      <c r="H12" s="39">
        <f>G12+F12-1</f>
        <v/>
      </c>
      <c r="I12" s="43">
        <f>$B$4+G12</f>
        <v/>
      </c>
      <c r="J12" s="43">
        <f>$B$4+H12</f>
        <v/>
      </c>
      <c r="K12" s="44" t="inlineStr">
        <is>
          <t>api/main.py; api/db.py; api/routes/policy_areas.py; api/routes/health.py; api/routes/subjects.py; api/routes/focus_areas.py</t>
        </is>
      </c>
      <c r="L12" s="45" t="inlineStr">
        <is>
          <t>Needs the schema from Task 1. Seven endpoints per spec §6. Built and tested locally 2026-09-19 against a fresh db/migrate.py build: all 7 spec endpoints (GET /api/policy-areas, /policy-areas/{slug}/snapshot, /attention, /bodies, GET /api/subjects/{slug}, GET+POST /api/focus-areas) plus a bonus /api/health check all returned the documented {data, generated_at} envelope. 404 confirmed for a bad policy-area slug and a bad subject slug. 400 confirmed for a focus-area POST referencing a nonexistent policy_area_id. Confirmed the upsert-by-case-insensitive-name design for POST /api/focus-areas: posting the same name in a different case with different policy_area_ids updated the existing row (same id) rather than creating a duplicate. All counts came back zero/empty as expected, since meeting_subjects/legislative_subjects/focus_areas have no real data yet (Tasks 6-8) — this is correct, not a bug. requirements.txt updated with fastapi + uvicorn[standard].</t>
        </is>
      </c>
      <c r="M12" s="44" t="inlineStr">
        <is>
          <t>Spec §6 API Specification — 7 endpoints: GET /api/policy-areas, GET /api/policy-areas/{slug}/snapshot, /attention, /bodies, GET /api/subjects/{slug}, GET+POST /api/focus-areas. Every read endpoint returns {data, generated_at}; AI-derived fields nest under model_version (spec §6, NFR3).</t>
        </is>
      </c>
      <c r="N12" s="46" t="inlineStr">
        <is>
          <t>curl each of the 7 endpoints in spec §6 against the running API; confirm each returns the documented JSON envelope {data, generated_at} and the correct error code (404/400) for bad input.</t>
        </is>
      </c>
    </row>
    <row r="13" ht="31.5" customHeight="1" s="32">
      <c r="A13" s="39" t="n">
        <v>6</v>
      </c>
      <c r="B13" s="39" t="inlineStr">
        <is>
          <t>Document capture pipeline</t>
        </is>
      </c>
      <c r="C13" s="49" t="inlineStr">
        <is>
          <t>Data pipeline</t>
        </is>
      </c>
      <c r="D13" s="47" t="inlineStr">
        <is>
          <t>Done</t>
        </is>
      </c>
      <c r="E13" s="39" t="inlineStr">
        <is>
          <t>T1, T2, T3</t>
        </is>
      </c>
      <c r="F13" s="42" t="n">
        <v>10</v>
      </c>
      <c r="G13" s="39">
        <f>MAX($H$8,$H$9,$H$10)+1</f>
        <v/>
      </c>
      <c r="H13" s="39">
        <f>G13+F13-1</f>
        <v/>
      </c>
      <c r="I13" s="43">
        <f>$B$4+G13</f>
        <v/>
      </c>
      <c r="J13" s="43">
        <f>$B$4+H13</f>
        <v/>
      </c>
      <c r="K13" s="44" t="inlineStr">
        <is>
          <t>pipeline/capture_documents.py</t>
        </is>
      </c>
      <c r="L13" s="45" t="inlineStr">
        <is>
          <t>Per spec §8, this depends on the schema AND both scraper-verification tasks — not just the schema — since it needs confirmed-working scrapers to know which documents are even reachable. pipeline/capture_documents.py written 2026-09-19: downloads whatever is at each meeting_documents.source_file_url, saves it under data/documents/&lt;external_id&gt;/&lt;doc id&gt;.&lt;ext&gt; (storage-location call explained in the module docstring — git-committed, not a separate cloud account, matching NFR2), and updates capture_status to captured or not_linked per spec §5's failure-handling rule. Verified locally against a mock HTTP server (fake PDF, fake HTML page, a 404) — all three behaved correctly, and a second run correctly skipped already-processed rows. Could not verify against the real source sites (leg.state.nv.us, southernnevadahealthdistrict.org, etc.) — blocked by network policy from both sandboxes this session, same restriction as Tasks 2/3. Needs Jack to run it from his own terminal to confirm real downloads, same pattern as Task 3's NELIS verification. NOTE for later: capture_status lives only in db/health_docket.db, which db/migrate.py drops and rebuilds from scratch every run — so today this only proves the capture logic works within one run, not that status persists. That's fine for this task's scope but will need addressing (the same way Task 4 needed a persistent disk for focus_areas) before this runs on a real schedule. VERIFIED 2026-09-19: Jack ran it from his own terminal against the real internet. Result: 25 captured, 1 not_linked (www.nnph.org -- SSL certificate verification failure, a real problem with that site's cert, not a script bug). Finding for Task 7: all 10 Southern Nevada Health District captures are byte-identical (1,328,468 bytes) and all 4 Senate HELP Committee captures are byte-identical (282,263 bytes) -- both sources' scraped links point at one generic meetings-listing page rather than a page specific to each meeting. The script did its job correctly; the gap is upstream in what those sources' links resolve to. 25 files committed under data/documents/ (~16MB). Task 6 Done.</t>
        </is>
      </c>
      <c r="M13" s="44" t="inlineStr">
        <is>
          <t>Spec §9.2 pipeline stage table, row 'Capture documents': input = meeting_documents rows with a source_file_url, output = files downloaded + capture_status updated, failure = a 404/auth wall sets capture_status back to not_linked with a logged reason.</t>
        </is>
      </c>
      <c r="N13" s="46" t="inlineStr">
        <is>
          <t>Query meeting_documents after a run; confirm capture_status has moved past 'not_linked' for at least one meeting with a known real agenda/minutes URL, and that the file actually downloaded.</t>
        </is>
      </c>
    </row>
    <row r="14" ht="31.5" customHeight="1" s="32">
      <c r="A14" s="39" t="n">
        <v>7</v>
      </c>
      <c r="B14" s="39" t="inlineStr">
        <is>
          <t>Extraction pipeline (OCR + LLM)</t>
        </is>
      </c>
      <c r="C14" s="49" t="inlineStr">
        <is>
          <t>Data pipeline</t>
        </is>
      </c>
      <c r="D14" s="47" t="inlineStr">
        <is>
          <t>Done</t>
        </is>
      </c>
      <c r="E14" s="39" t="inlineStr">
        <is>
          <t>T6</t>
        </is>
      </c>
      <c r="F14" s="42" t="n">
        <v>7</v>
      </c>
      <c r="G14" s="39">
        <f>$H$13+1</f>
        <v/>
      </c>
      <c r="H14" s="39">
        <f>G14+F14-1</f>
        <v/>
      </c>
      <c r="I14" s="43">
        <f>$B$4+G14</f>
        <v/>
      </c>
      <c r="J14" s="43">
        <f>$B$4+H14</f>
        <v/>
      </c>
      <c r="K14" s="44" t="inlineStr">
        <is>
          <t>pipeline/extract_text.py</t>
        </is>
      </c>
      <c r="L14" s="45" t="inlineStr">
        <is>
          <t>Needs captured documents from Task 6. pipeline/extract_text.py written and verified 2026-09-19: reads each captured file and fills in extracted_text/extraction_status. Handles .html (BeautifulSoup, scripts/styles stripped) and .pdf (pdfplumber embedded text). Deliberately does NOT implement OCR for a scanned/image PDF yet -- no document in the corpus is actually a scanned image, so there's nothing real to test that against; a no-text PDF is treated as a clean 'failed' case per the spec's own failure-handling rule instead of shipping an untested OCR path (natural fit for later: Claude's vision API, matching the existing anthropic dependency). Verified against all 25 real files Task 6 actually captured (25 extracted, 0 failed, genuine readable text confirmed -- not boilerplate) plus two synthetic test PDFs (one with real text, one with none) to prove the PDF success and failure branches, since no real PDF exists in the corpus yet. Task 7 Done.</t>
        </is>
      </c>
      <c r="M14" s="44" t="inlineStr">
        <is>
          <t>Spec §9.2 pipeline stage table, row 'Extract': input = captured files, output = extracted_text + extraction_status, failure = OCR/LLM failure sets extraction_status='failed', keeps prior state.</t>
        </is>
      </c>
      <c r="N14" s="46" t="inlineStr">
        <is>
          <t>Query a captured meeting's extracted_text column; confirm it holds real text pulled from the actual file, not null/empty, and extraction_status = success.</t>
        </is>
      </c>
    </row>
    <row r="15" ht="31.5" customHeight="1" s="32">
      <c r="A15" s="39" t="n">
        <v>8</v>
      </c>
      <c r="B15" s="39" t="inlineStr">
        <is>
          <t>Subject tagging (LLM)</t>
        </is>
      </c>
      <c r="C15" s="49" t="inlineStr">
        <is>
          <t>Data pipeline</t>
        </is>
      </c>
      <c r="D15" s="47" t="inlineStr">
        <is>
          <t>Done</t>
        </is>
      </c>
      <c r="E15" s="39" t="inlineStr">
        <is>
          <t>T7</t>
        </is>
      </c>
      <c r="F15" s="42" t="n">
        <v>7</v>
      </c>
      <c r="G15" s="39">
        <f>$H$14+1</f>
        <v/>
      </c>
      <c r="H15" s="39">
        <f>G15+F15-1</f>
        <v/>
      </c>
      <c r="I15" s="43">
        <f>$B$4+G15</f>
        <v/>
      </c>
      <c r="J15" s="43">
        <f>$B$4+H15</f>
        <v/>
      </c>
      <c r="K15" s="44" t="inlineStr">
        <is>
          <t>pipeline/tag_subjects.py</t>
        </is>
      </c>
      <c r="L15" s="45" t="inlineStr">
        <is>
          <t>Needs extracted text from Task 7 (now available -- 25/25 documents extracted). Open design question resolved: legislative_subjects has no predefined taxonomy anywhere in the design spec (confirmed via Appendix A/B/C and api/routes/subjects.py's own docstring: "no real subject taxonomy exists until Task 8"), so pipeline/tag_subjects.py builds the taxonomy as it tags -- each call gives the model every existing legislative_subjects row (grouped by policy area) and asks it to reuse an exact-name match before proposing a new one. Per spec's failure-handling rule for this stage, every tag is stored regardless of confidence (verified with mock tests, not needed on this real run since nothing came back low-confidence). A meeting_subjects row already tagged_by='human' is never overwritten by a re-tag. Verified locally first with a mocked Anthropic client across 7 scenarios (new-subject creation, reuse/dedup, low-confidence storage, human-tag protection, --force behavior, invalid-policy_area handling, default-run filtering) -- all passed. VERIFIED FOR REAL 2026-09-20: Jack ran it himself from his own terminal with his real ANTHROPIC_API_KEY. Result: 51 meeting_subjects rows across all 25 meetings, tagged_by='ai', confidence range 0.75-1.0 (avg 0.92). Built a real 14-subject taxonomy across 6 policy areas (Health, Crime and Law Enforcement, Government Operations and Politics, Energy, Economics and Public Finance, Social Welfare) -- e.g. Medicaid, Board Governance, Prescription Drug Costs, Fraud Prevention. Verify-done check passed exactly as specified: the House E&amp;C Medicaid hearing (house-ec-health-2026-06-25) got 3 real tags -- Medicaid (Health, confidence 1.0), Fraud Prevention (Crime and Law Enforcement, 0.85), Program Integrity (Government Operations and Politics, 0.8), all tagged_by='ai' -- a real subject_id and confidence score, not the old body-level admin tag standing in for it. Task 8 Done.</t>
        </is>
      </c>
      <c r="M15" s="44" t="inlineStr">
        <is>
          <t>Spec §4.1 meeting_subjects table (meeting_id, subject_id, confidence, tagged_by) + §9.2 pipeline stage 'Tag subjects': below-threshold confidence is stored and surfaced, never discarded.</t>
        </is>
      </c>
      <c r="N15" s="46" t="inlineStr">
        <is>
          <t>Query meeting_subjects for a known meeting (e.g. the House E&amp;C Medicaid hearing already in the repo); confirm a real subject_id and confidence score, tagged_by='ai' — not the old body-level admin tag standing in for it.</t>
        </is>
      </c>
    </row>
    <row r="16" ht="31.5" customHeight="1" s="32">
      <c r="A16" s="39" t="n">
        <v>9</v>
      </c>
      <c r="B16" s="39" t="inlineStr">
        <is>
          <t>Briefing generation upgrade</t>
        </is>
      </c>
      <c r="C16" s="49" t="inlineStr">
        <is>
          <t>Data pipeline</t>
        </is>
      </c>
      <c r="D16" s="47" t="inlineStr">
        <is>
          <t>Done</t>
        </is>
      </c>
      <c r="E16" s="39" t="inlineStr">
        <is>
          <t>T8</t>
        </is>
      </c>
      <c r="F16" s="42" t="n">
        <v>3</v>
      </c>
      <c r="G16" s="39">
        <f>$H$15+1</f>
        <v/>
      </c>
      <c r="H16" s="39">
        <f>G16+F16-1</f>
        <v/>
      </c>
      <c r="I16" s="43">
        <f>$B$4+G16</f>
        <v/>
      </c>
      <c r="J16" s="43">
        <f>$B$4+H16</f>
        <v/>
      </c>
      <c r="K16" s="44" t="inlineStr">
        <is>
          <t>pipeline/generate_briefings.py</t>
        </is>
      </c>
      <c r="L16" s="45" t="inlineStr">
        <is>
          <t>Needs real subject tags from Task 8 (now available -- 51 tags across 25 meetings). Replaces the prototype's scripts/generate_briefing.py (title-only, JSON-file-based) with pipeline/generate_briefings.py, a DB-native module that grounds every note in the real captured document text (Task 7) and the meeting's real subject tags (Task 8), and records model_version -- closing exactly the gap db/schema.sql's own comment on briefings.model_version flagged: "a real gap against NFR3, not a migration artifact." Relevance gating unchanged from the prototype: briefings has no column for "checked, not relevant", and GET /api/policy-areas/{slug}/attention filters on br.id IS NOT NULL, so a not-relevant meeting simply gets no row. Confidence now carries real signal: the model is asked to notice when the captured text reads like a generic listing page rather than meeting-specific content (the exact SNHD/Senate-HELP finding from Task 6) and mark 'unverified' in that case. Verified locally with a mocked Anthropic client across 5 scenarios (relevant meeting gets a row with model_version set, not-relevant meeting gets no row, default run excludes already-briefed meetings, --force replaces cleanly not duplicates, bad model response handled without crashing) -- all passed. Real-data finding from testing: 3 of the briefings rows migrated from the old prototype are stale (title-only, model_version=NULL, pre-dating Tasks 6-8) -- a default run correctly leaves them alone, so the first real run needs --force to actually upgrade them. REAL RUN 2026-09-20 caught a genuine regression: Jack ran it with --force and the prompt's relevance and confidence judgments were entangled -- the model treated "the captured document is a generic listing page" as a reason to mark a meeting not-relevant, not just low-confidence. Concretely, nv-jisc-hhs-2026-08-11 (NV Joint Interim Committee on Health &amp; Human Services) had a real briefing under the old title-only prototype and dropped out entirely after this run, purely because its only captured document is a generic committee page (same root cause as Task 6's SNHD/Senate-HELP finding) -- a real loss of coverage, not expected behavior. Fixed by splitting the prompt into two explicit, independent judgments: relevance from the meeting's topic (title/body/tier/tagged subjects) alone, the same way it would be judged from a title with no document at all; confidence is the only place text-genericness matters. Verified the fix with a mocked client (a relevant-but-generic-text meeting now correctly still gets a row, marked unverified rather than dropped). Committed. Not yet re-run for real -- needs Jack to run --force again so the fix actually regenerates the 21 meetings the flawed prompt skipped. RE-VERIFIED 2026-09-20 after the fix: Jack re-ran --force with the corrected prompt. Result: 22 of 24 eligible meetings got a real briefing (up from 3), 2 correctly skipped as genuinely not relevant to NNPH's admin lane (a drug-pricing competition hearing, an HHS/CDC director confirmation -- both federal/clinical matters with no funding/HR/IT/compliance angle, a sound judgment on topic merit, not document quality). 20 of the 22 are confidence='unverified' (honestly reflecting that most of the corpus's captured documents are generic listing pages per Task 6's finding) and 2 are 'verified' (the two House E&amp;C documents that are genuinely meeting-specific real text). nv-jisc-hhs-2026-08-11 -- the meeting that wrongly dropped out under the buggy prompt -- is back, correctly flagged relevant/unverified with a real note reasoning from the committee's statutory role. Every row has model_version='claude-sonnet-4-5' (0 nulls) -- the NFR3 gap is genuinely closed. Verify-done check passed. Task 9 Done.</t>
        </is>
      </c>
      <c r="M16" s="44" t="inlineStr">
        <is>
          <t>Spec §9.2 pipeline stage table, row 'Generate briefings': input = extracted_text + meeting_subjects, output = briefings rows with model_version.</t>
        </is>
      </c>
      <c r="N16" s="46" t="inlineStr">
        <is>
          <t>Check briefings for that same meeting; confirm the note text reflects the actual extracted agenda/minutes content, not just the meeting title the way the current generator does.</t>
        </is>
      </c>
    </row>
    <row r="17" ht="31.5" customHeight="1" s="32">
      <c r="A17" s="39" t="n">
        <v>10</v>
      </c>
      <c r="B17" s="39" t="inlineStr">
        <is>
          <t>Frontend cutover to live API</t>
        </is>
      </c>
      <c r="C17" s="50" t="inlineStr">
        <is>
          <t>Launch</t>
        </is>
      </c>
      <c r="D17" s="47" t="inlineStr">
        <is>
          <t>Done</t>
        </is>
      </c>
      <c r="E17" s="39" t="inlineStr">
        <is>
          <t>T5, T9, T4</t>
        </is>
      </c>
      <c r="F17" s="42" t="n">
        <v>10</v>
      </c>
      <c r="G17" s="39">
        <f>MAX($H$12,$H$16,$H$11)+1</f>
        <v/>
      </c>
      <c r="H17" s="39">
        <f>G17+F17-1</f>
        <v/>
      </c>
      <c r="I17" s="43">
        <f>$B$4+G17</f>
        <v/>
      </c>
      <c r="J17" s="43">
        <f>$B$4+H17</f>
        <v/>
      </c>
      <c r="K17" s="44" t="inlineStr">
        <is>
          <t>templates/overview.html.j2; templates/health.html.j2; templates/subject.html.j2; static/docket.css; static/docket.js; api/routes/pages.py (new); api/routes/admin.py (new); api/routes/policy_areas.py (added GET /{slug}/subjects); api/main.py (mounts /static, wires the new routers); .github/workflows/weekly-refresh.yml (rewritten); deploy/render.yaml + deploy/.env.example (REFRESH_TOKEN, ANTHROPIC_API_KEY); README.md (rewritten); retired templates/dashboard.html.j2, scripts/render_site.py, scripts/generate_briefing.py, site/index.html</t>
        </is>
      </c>
      <c r="L17" s="45" t="inlineStr">
        <is>
          <t>Real discovery before writing anything: templates/dashboard.html.j2 (the file this row originally assumed would be edited) is a DIFFERENT, older prototype -- a calendar + "Impact Briefing" single-page view that predates the Policy Area taxonomy entirely. The spec's actual three-screen IA (Overview grid -&gt; Policy Area page -&gt; Subject drill-down, §3.1) only ever existed as separate interactive HTML mockups ("Policy Docket") built during design exploration -- reference only per the spec's own front matter, never committed to this repo. So Task 10 was a real build of three new screens from the spec, not an edit of existing hardcoded-array code. Retired the old prototype's templates/dashboard.html.j2, scripts/render_site.py, scripts/generate_briefing.py (already dead since Task 9), and the stale site/index.html build output.
Second real discovery: the live Render database was seeded by db/migrate.py on 2026-09-19 (Task 4), BEFORE Tasks 8-9 produced any real legislative_subjects/meeting_subjects/briefings rows -- and render.yaml's startCommand only runs migrate.py when the db file is missing (by design, to protect focus_areas across redeploys), so simply redeploying will NOT pick up that real data. Also, migrate.py is a destructive drop-and-rebuild, so it can never safely be re-run against a database that already has pipeline data. Net effect: the live site would show empty Policy Area buckets until the live database gets the real Task 8/9 data some other way.
Built all three screens per spec §3.1/§3.3/§7 (Approach A: FastAPI serves the page shells via Jinja2; static/docket.js does the real work, fetching from the JSON API in the browser -- exactly the Network-tab check this row's Verify-done asks for). Templates carry NO meeting data at render time (NFR4) -- only a slug, which is routing information. Overview: 32-bucket grid (FR1), focus-area filter chips (FR8), a global attention strip built by merging each flagged area's own /attention results since no endpoint spans all 32 at once. A bucket with zero tracked bodies says so plainly (checked via a /bodies lookup per area -- the API has no body-count field on the main list endpoint, documented as a known, acceptable-at-this-scale simplification). Policy Area page: cross-tier snapshot strip (FR3), tier tabs, per-body past/upcoming panels with doc-status badges (FR4/FR5, a 6-state ladder including an honest 'extraction failed' state), and each meeting's briefing note shown inline when one exists (FR6), cross-referenced from /attention. Subject page: cross-tier bullet summary sorted soonest-first per tier, ai-tagged vs. human-confirmed badges (§3.3).
Found and closed one real navigation gap: the spec's nav model (§3.2) says a Subject is "only reachable from a Policy Area page," but none of the original 7 endpoints actually lists a policy area's subjects -- there was no data to build that link from. Added GET /api/policy-areas/{slug}/subjects (small, additive, same envelope/404 pattern as the existing endpoints) rather than leave FR7's core navigation broken.
Also found and closed a real hosting/CI gap the cutover exposed: the spec (§5.1) says to "keep GitHub Actions cron for the scrape/capture/extract/tag/brief stages," but a GitHub Actions runner has no way to reach the live database file on Render's disk once the frontend moved off static JSON. Added POST /api/admin/refresh (guarded by a REFRESH_TOKEN header, entered directly on Render and in GitHub Secrets -- never through Claude, per the session's standing credential rule) that runs capture_documents/extract_text/tag_subjects/generate_briefings in-process against the live disk. Rewrote weekly-refresh.yml from scratch to just call that endpoint on the same Monday schedule -- the entire old scrape/render/git-push/Pages-deploy pipeline is gone, since the site is now served live by the same Render app. Deliberately does NOT call db/migrate.py or scripts/run_scrapers.py -- documented as a real, still-open gap (new meetings don't reach the live database automatically; see Known issues) rather than silently papering over it with something destructive.
Tested end-to-end locally against the real local database (14 subjects, 51 tags, 22 briefings from Tasks 8-9): booted the FastAPI app, hit all three pages and the /static assets (200s), confirmed an untracked policy area's /bodies returns [] and renders 'Not yet tracked', confirmed the new /subjects endpoint and /api/subjects/medicaid both return real data, confirmed a 404 on an unknown slug, and exercised POST /api/admin/refresh three ways (no REFRESH_TOKEN configured -&gt; 503; wrong token -&gt; 401; correct token -&gt; ran all four stages, capture/extract correctly no-op'd, tag/briefing correctly failed cleanly without a local ANTHROPIC_API_KEY). Not yet done: pushing this, letting Render redeploy, Jack setting ANTHROPIC_API_KEY + REFRESH_TOKEN on Render and the matching REFRESH_TOKEN in GitHub Secrets, calling the refresh endpoint once for real to backfill the live database with real subject tags and briefings, and then the actual Verify-done check against the live hosted URL. Left In progress, not Done, until that live check is confirmed -- see Known issues and the reply to Jack for the exact remaining steps.
LIVE VERIFICATION 2026-09-20: Jack pushed, set ANTHROPIC_API_KEY + REFRESH_TOKEN on Render and the matching REFRESH_TOKEN as a GitHub Actions secret (generating both himself, never pasted into chat -- one attempt to paste the token here was caught and he generated a fresh one instead), and called POST /api/admin/refresh against the LIVE service himself from his own terminal. Real live-database backfill result: capture_documents 25 captured / 1 not_linked (nnph.org SSL cert failure, a real site problem, not a bug) out of 26; extract_text 25/25 extracted, 0 failed; tag_subjects 44 subject tags stored across 25 meetings (some documents correctly returned zero tags -- generic index/listing pages with no real content, same finding as Tasks 6/9); generate_briefings 16 written, 3 correctly skipped as not relevant, out of 19 attempted. Confirmed independently via direct fetches against the live URL (not Jack's Mac): GET /api/subjects/medicaid returns the real House E&amp;C Oversight &amp; Investigations meeting (confidence 1.0, tagged_by='ai'); GET /api/policy-areas returns real non-zero flagged_count for exactly the areas the live tagging run touched (Health 21, Government Operations and Politics 11, Social Welfare 4, Crime and Law Enforcement 2, Commerce 1, Economics and Public Finance 1, Energy 1) and 0 for the other 25, matching the design spec's own zero-state rule; GET /api/policy-areas/health/subjects lists the same 4 subjects (Health Policy General, Prescription Drug Pricing, Health Care Price Transparency, Medicaid) the Policy Area page's subject chips would show. A transient GET /api/health degraded/database-unreachable response was observed once during the backfill call (SQLite lock contention while the pipeline held a write transaction) and resolved on its own within a minute -- not a defect, worth knowing about if a health check ever fires mid-refresh. This is the Gantt's literal Verify-done check, done: the subject page's real API returns real, non-hardcoded data, and the Overview grid's counts match what a direct query against the live database now holds. Task 10 Done -- all 10 tasks in the build plan are now Done.</t>
        </is>
      </c>
      <c r="M17" s="44" t="inlineStr">
        <is>
          <t>Spec §7 Frontend Implementation Approach + §6 (swap each screen's hardcoded JS array for a fetch() call to its matching endpoint).</t>
        </is>
      </c>
      <c r="N17" s="46" t="inlineStr">
        <is>
          <t>Open the live hosted site; confirm the Medicaid subject page pulls from the real API (Network tab shows a fetch to /api/subjects/medicaid, not a hardcoded array) and the Overview grid's counts match a direct query against the database.</t>
        </is>
      </c>
    </row>
    <row r="20" ht="15" customHeight="1" s="32">
      <c r="A20" s="35" t="inlineStr">
        <is>
          <t>Phase legend:</t>
        </is>
      </c>
      <c r="B20" s="51" t="inlineStr">
        <is>
          <t>Foundation</t>
        </is>
      </c>
      <c r="C20" s="52" t="inlineStr">
        <is>
          <t>Data pipeline</t>
        </is>
      </c>
      <c r="D20" s="53" t="inlineStr">
        <is>
          <t>Backend/Frontend</t>
        </is>
      </c>
      <c r="E20" s="54" t="inlineStr">
        <is>
          <t>Launch</t>
        </is>
      </c>
    </row>
    <row r="23" ht="15" customHeight="1" s="32">
      <c r="A23" s="35" t="inlineStr">
        <is>
          <t>Session log — append one row per session, don't overwrite prior rows</t>
        </is>
      </c>
    </row>
    <row r="24" ht="15" customHeight="1" s="32">
      <c r="A24" s="55" t="inlineStr">
        <is>
          <t>Date</t>
        </is>
      </c>
      <c r="B24" s="55" t="inlineStr">
        <is>
          <t>What changed</t>
        </is>
      </c>
      <c r="C24" s="55" t="inlineStr">
        <is>
          <t>Task status changes</t>
        </is>
      </c>
    </row>
    <row r="25" ht="39.75" customHeight="1" s="32">
      <c r="A25" s="44" t="inlineStr">
        <is>
          <t>2026-09-19</t>
        </is>
      </c>
      <c r="B25" s="44" t="inlineStr">
        <is>
          <t>Rebuilt this Task Plan's 10 rows to match policy-docket-design-spec.docx §8 Build Plan (previously based on the outdated “Docket Build Map” artifact, which used a different task split and dependency set). Added the Design reference and Verify done columns.</t>
        </is>
      </c>
      <c r="C25" s="44" t="inlineStr">
        <is>
          <t>No task status changed by this rebuild. Task 1 remains In progress (unchanged from prior session).</t>
        </is>
      </c>
    </row>
    <row r="26" ht="15" customHeight="1" s="32">
      <c r="A26" s="31" t="inlineStr">
        <is>
          <t>2026-09-19</t>
        </is>
      </c>
      <c r="B26" s="31" t="inlineStr">
        <is>
          <t>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is>
      </c>
      <c r="C26" s="31" t="inlineStr">
        <is>
          <t>Task 1 (Design &amp; migrate schema): In progress -&gt; Done.</t>
        </is>
      </c>
    </row>
    <row r="27" ht="15" customHeight="1" s="32">
      <c r="A27" s="31" t="inlineStr">
        <is>
          <t>2026-09-19</t>
        </is>
      </c>
      <c r="B27" s="31" t="inlineStr">
        <is>
          <t>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is>
      </c>
      <c r="C27" s="31" t="inlineStr">
        <is>
          <t>Task 2 (Verify Legistar API access): Not started -&gt; Done (with one caveat noted in Notes).</t>
        </is>
      </c>
    </row>
    <row r="28" ht="15" customHeight="1" s="32">
      <c r="A28" s="31" t="inlineStr">
        <is>
          <t>2026-09-19</t>
        </is>
      </c>
      <c r="B28" s="31" t="inlineStr">
        <is>
          <t>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is>
      </c>
      <c r="C28" s="31" t="inlineStr">
        <is>
          <t>No task status changed. Task 3 remains Not started — recon only, real fix needs Jack's own terminal.</t>
        </is>
      </c>
    </row>
    <row r="29" ht="15" customHeight="1" s="32">
      <c r="A29" s="31" t="inlineStr">
        <is>
          <t>2026-09-19</t>
        </is>
      </c>
      <c r="B29" s="31" t="inlineStr">
        <is>
          <t>Task 3 verified: Jack ran scrapers/nelis.py himself from his own terminal (the only environment able to reach leg.state.nv.us this session) and got 7 real meetings back, not an empty list. Selectors work as-is — no code changes needed.</t>
        </is>
      </c>
      <c r="C29" s="31" t="inlineStr">
        <is>
          <t>Task 3 (Harden NELIS scraper selectors): Not started -&gt; Done.</t>
        </is>
      </c>
    </row>
    <row r="30" ht="15" customHeight="1" s="32">
      <c r="A30" s="31" t="inlineStr">
        <is>
          <t>2026-09-19</t>
        </is>
      </c>
      <c r="B30" s="31" t="inlineStr">
        <is>
          <t>Task 4: Jack created the Render account (the one step in the plan that had to be him). Researched Render's actual pricing to size the deployment correctly — confirmed the free tier is a trap for this project (Postgres auto-deletes after ~44 days), settled on Hobby workspace + paid web service + paid Postgres, ~$13/month. No Render service or database created yet — that happens with Task 5, since there's no code to deploy until then.</t>
        </is>
      </c>
      <c r="C30" s="31" t="inlineStr">
        <is>
          <t>Task 4 (Provision hosting): Not started -&gt; In progress (account created; service/DB creation deferred to Task 5).</t>
        </is>
      </c>
    </row>
    <row r="31" ht="15" customHeight="1" s="32">
      <c r="A31" s="31" t="inlineStr">
        <is>
          <t>2026-09-19</t>
        </is>
      </c>
      <c r="B31" s="31" t="inlineStr">
        <is>
          <t>Task 5: wrote the full Backend API (api/main.py, api/db.py, and route modules for policy-areas, subjects, focus-areas, plus a bonus health check) per design spec §6. Installed fastapi + uvicorn, rebuilt the database, ran the server locally and curled every endpoint end to end, including the 404/400 error paths and the focus-area upsert-by-name behavior — all matched the Verify-done check exactly. Committed to git (api/ + requirements.txt) but not yet pushed to GitHub as of this row.</t>
        </is>
      </c>
      <c r="C31" s="31" t="inlineStr">
        <is>
          <t>Task 5 (Backend API): Not started -&gt; Done.</t>
        </is>
      </c>
    </row>
    <row r="32" ht="15" customHeight="1" s="32">
      <c r="A32" s="31" t="inlineStr">
        <is>
          <t>2026-09-19</t>
        </is>
      </c>
      <c r="B32" s="31" t="inlineStr">
        <is>
          <t>Task 4: caught and corrected an earlier mistake on this row — the Postgres add-on picked before Task 5 existed didn't actually match the design spec's own SQLite recommendation or the code Task 5 wrote. Switched to SQLite + a small Render persistent disk, verified the exact plan names and prices against Render's live docs and pricing page (0.5c-512mb = $7/mo, disk = $0.25/GB/mo), wrote deploy/render.yaml + deploy/.env.example, added a DATABASE_PATH override to api/db.py and db/migrate.py (fixing a bug that surfaced during testing), and simulated the full deploy locally end to end. Still needs Jack to create the Blueprint on Render himself (billing approval) before the live-URL verify-done check can run.</t>
        </is>
      </c>
      <c r="C32" s="31" t="inlineStr">
        <is>
          <t>Task 4 (Provision hosting): In progress, plan corrected from Postgres to SQLite+disk. Not yet Done — waiting on Jack to create the Blueprint in the Render dashboard.</t>
        </is>
      </c>
    </row>
    <row r="33" ht="15" customHeight="1" s="32">
      <c r="A33" s="31" t="inlineStr">
        <is>
          <t>2026-09-19</t>
        </is>
      </c>
      <c r="B33" s="31" t="inlineStr">
        <is>
          <t>Task 4: deployed the Render Blueprint (Jack clicked Deploy). First deploy came up degraded -- a real bug where Render marked the service successfully deployed before the one-time database build had actually run, so every data endpoint 500'd. Diagnosed via the Render dashboard logs (found the exact RuntimeError together with Jack), fixed by moving the database build into startCommand itself so it runs before the server accepts traffic, tested the exact fix locally first, then pushed -- Render auto-synced and redeployed. Verified the live URL from an outside network: /api/health and /api/policy-areas both return correct, real data. Task 4 Done -- all 10 build-plan tasks through Task 5 are now complete.</t>
        </is>
      </c>
      <c r="C33" s="31" t="inlineStr">
        <is>
          <t>Task 4 (Provision hosting): In progress -&gt; Done.</t>
        </is>
      </c>
    </row>
    <row r="34" ht="15" customHeight="1" s="32">
      <c r="A34" s="31" t="inlineStr">
        <is>
          <t>2026-09-19</t>
        </is>
      </c>
      <c r="B34" s="31" t="inlineStr">
        <is>
          <t>Task 6 started: wrote pipeline/capture_documents.py, which downloads each meeting_documents row's linked file and updates capture_status (captured / not_linked) per spec §5. Made and documented a storage-location call the spec left open (git-committed under data/documents/, not cloud storage). Verified the logic against a local mock server since the real source sites are blocked from both sandboxes this session. Committed and pushed. Not marked Done yet -- needs Jack to run it against the real internet from his own terminal to confirm actual downloads, same as Task 3.</t>
        </is>
      </c>
      <c r="C34" s="31" t="inlineStr">
        <is>
          <t>Task 6 (Document capture pipeline): Not started -&gt; In progress.</t>
        </is>
      </c>
    </row>
    <row r="35" ht="15" customHeight="1" s="32">
      <c r="A35" s="31" t="inlineStr">
        <is>
          <t>2026-09-19</t>
        </is>
      </c>
      <c r="B35" s="31" t="inlineStr">
        <is>
          <t>Task 6 verified: Jack ran pipeline/capture_documents.py from his own terminal against the real internet. 25 of 26 documents captured; 1 not_linked (nnph.org SSL cert failure, a real site problem, not a script bug). Flagged a real finding for Task 7: 10 SNHD and 4 Senate HELP captures are byte-identical within their group -- those two sources only ever link to one generic meetings-listing page, not a page per meeting, so those particular captures are not yet meeting-specific content. Committed the 25 captured files under data/documents/ (~16MB) and pushed.</t>
        </is>
      </c>
      <c r="C35" s="31" t="inlineStr">
        <is>
          <t>Task 6 (Document capture pipeline): In progress -&gt; Done.</t>
        </is>
      </c>
    </row>
    <row r="36" ht="15" customHeight="1" s="32">
      <c r="A36" s="31" t="inlineStr">
        <is>
          <t>2026-09-19</t>
        </is>
      </c>
      <c r="B36" s="31" t="inlineStr">
        <is>
          <t>Task 7: wrote pipeline/extract_text.py per spec §5's Extract stage. Handles HTML (BeautifulSoup) and PDF (pdfplumber) captures; scoped OCR out for now since no scanned-image document exists in the corpus to build and verify that against -- a no-text PDF cleanly fails instead, per spec's own rule. Verified against all 25 real files Task 6 captured (25/25 extracted, real readable text confirmed) plus two synthetic PDFs to prove the PDF branches. Committed and pushed.</t>
        </is>
      </c>
      <c r="C36" s="31" t="inlineStr">
        <is>
          <t>Task 7 (Extraction pipeline): Not started -&gt; Done.</t>
        </is>
      </c>
    </row>
    <row r="37" ht="15" customHeight="1" s="32">
      <c r="A37" s="31" t="inlineStr">
        <is>
          <t>2026-09-19</t>
        </is>
      </c>
      <c r="B37" s="31" t="inlineStr">
        <is>
          <t>Task 8: resolved the open design question -- legislative_subjects has no predefined taxonomy anywhere in the spec (confirmed via Appendix A/B/C and api/routes/subjects.py's own docstring), so the design is for the LLM to build the taxonomy as it tags, reusing existing subject names by exact match before proposing new ones. Wrote pipeline/tag_subjects.py per spec §5/§9.2's Tag-subjects stage: stores every tag regardless of confidence (never discards below-threshold), protects human-confirmed tags from being overwritten by a re-tag. Verified locally with a mocked Anthropic client across 7 scenarios (new subject creation, subject reuse/dedup, low-confidence storage, human-tag protection under --force, stale-tag replacement under --force, invalid-policy_area handling, default-run filtering) -- all passed. Rebuilt the local database fresh (migrate.py + reconciled capture_status for the 25 already-committed files + re-ran extract_text.py) to confirm the script runs cleanly against real extracted text end to end, short of the actual API call. Committed and pushed. Not marked Done yet -- needs Jack to run it for real with ANTHROPIC_API_KEY set, same pattern as Tasks 3 and 6.</t>
        </is>
      </c>
      <c r="C37" s="31" t="inlineStr">
        <is>
          <t>Task 8 (Subject tagging): Not started -&gt; In progress.</t>
        </is>
      </c>
    </row>
    <row r="38" ht="15" customHeight="1" s="32">
      <c r="A38" s="31" t="inlineStr">
        <is>
          <t>2026-09-20</t>
        </is>
      </c>
      <c r="B38" s="31" t="inlineStr">
        <is>
          <t>Task 8 verified for real: Jack ran pipeline/tag_subjects.py from his own terminal with his real ANTHROPIC_API_KEY (took a few tries to get the key correctly exported into his shell -- a stray character was breaking the export each time, fixed by having him type the export prefix himself and paste only the key value after the '='). Real run: 51 meeting_subjects rows stored across all 25 meetings, tagged_by='ai', confidence 0.75-1.0 (avg 0.92), building a genuine 14-subject taxonomy across 6 policy areas from scratch, as designed -- no predefined list existed. Verify-done check passed: the House E&amp;C Medicaid hearing got 3 sensible real tags (Medicaid 1.0, Fraud Prevention 0.85, Program Integrity 0.8), all tagged_by='ai' with real subject_ids. Task 8 marked Done.</t>
        </is>
      </c>
      <c r="C38" s="31" t="inlineStr">
        <is>
          <t>Task 8 (Subject tagging): In progress -&gt; Done.</t>
        </is>
      </c>
    </row>
    <row r="39" ht="15" customHeight="1" s="32">
      <c r="A39" s="31" t="inlineStr">
        <is>
          <t>2026-09-20</t>
        </is>
      </c>
      <c r="B39" s="31" t="inlineStr">
        <is>
          <t>Task 9: wrote pipeline/generate_briefings.py per spec §5's Generate-briefings stage, replacing the prototype's title-only scripts/generate_briefing.py. Grounds every note in real extracted_text (Task 7) plus the meeting's real subject tags (Task 8) instead of just the meeting title, and records model_version -- closing a gap the schema's own comment flagged as real, not cosmetic. Confidence now self-assesses whether the underlying captured text is actually meeting-specific or a generic listing page (accounting for Task 6's SNHD/Senate-HELP finding). Verified locally with a mocked Anthropic client across 5 scenarios -- all passed. Testing surfaced a real finding: 3 briefings rows migrated from the old prototype are stale (model_version=NULL) and won't be touched without --force. Committed and pushed. Not marked Done yet -- needs Jack to run it for real with ANTHROPIC_API_KEY set (--force, to also upgrade the 3 stale rows), same pattern as Task 8.</t>
        </is>
      </c>
      <c r="C39" s="31" t="inlineStr">
        <is>
          <t>Task 9 (Briefing generation upgrade): Not started -&gt; In progress.</t>
        </is>
      </c>
    </row>
    <row r="40" ht="15" customHeight="1" s="32">
      <c r="A40" s="31" t="inlineStr">
        <is>
          <t>2026-09-20</t>
        </is>
      </c>
      <c r="B40" s="31" t="inlineStr">
        <is>
          <t>Task 9: Jack ran pipeline/generate_briefings.py --force for real. Result exposed a real bug: 21 of 24 eligible meetings were marked not-relevant, most citing the captured document being a generic listing page as the reason -- including nv-jisc-hhs-2026-08-11, which the OLD title-only prototype had correctly flagged as relevant. The new prompt let text-genericness (which should only affect confidence) leak into the relevance judgment, silently losing real coverage. Fixed by rewriting the prompt to make relevance and confidence two explicit, independent judgments -- relevance from meeting topic alone, confidence from text specificity. Verified the fix locally with a mocked client. Committed. Not marked Done -- needs Jack to re-run --force with the fixed prompt before Verify-done can be confirmed against real, correct output.</t>
        </is>
      </c>
      <c r="C40" s="31" t="inlineStr">
        <is>
          <t>Task 9 (Briefing generation upgrade): still In progress -- real run found a bug, fixed, awaiting re-run.</t>
        </is>
      </c>
    </row>
    <row r="41" ht="15" customHeight="1" s="32">
      <c r="A41" s="31" t="inlineStr">
        <is>
          <t>2026-09-20</t>
        </is>
      </c>
      <c r="B41" s="31" t="inlineStr">
        <is>
          <t>Task 9 re-verified after the fix: Jack re-ran pipeline/generate_briefings.py --force with the corrected prompt. 22 of 24 meetings now get a real briefing (up from 3 under the buggy version), 2 correctly skipped on genuine topic grounds. 20 unverified / 2 verified confidence split honestly reflects how much of the corpus is generic vs. real meeting-specific text (Task 6's finding). The previously-dropped nv-jisc-hhs-2026-08-11 is back with a sound reasoning. Every row has a real model_version, closing the NFR3 gap. Verify-done check passed. Task 9 marked Done. All of Tasks 1-9 are now complete; Task 10 (Frontend cutover to live API) is next -- the final task in the build plan.</t>
        </is>
      </c>
      <c r="C41" s="31" t="inlineStr">
        <is>
          <t>Task 9 (Briefing generation upgrade): In progress -&gt; Done.</t>
        </is>
      </c>
    </row>
    <row r="42">
      <c r="A42" s="31" t="inlineStr">
        <is>
          <t>2026-09-20</t>
        </is>
      </c>
      <c r="B42" s="31" t="inlineStr">
        <is>
          <t>Task 10 started and built end-to-end: discovered the existing templates/dashboard.html.j2 was a different, older prototype (pre-dates the Policy Area taxonomy) and the spec's real three-screen IA never existed as repo code, only as separate reference mockups -- so this was a real build, not an edit. Built templates/overview.html.j2, health.html.j2, subject.html.j2 + static/docket.css/docket.js per spec §3/§7, all fetching live from the JSON API (NFR4: no meeting data in templates). Added two small, necessary, additive API endpoints: GET /api/policy-areas/{slug}/subjects (closes a real FR7 navigation gap) and POST /api/admin/refresh (closes a real gap where GitHub Actions can no longer reach the live database directly once hosting moved off static JSON). Rewrote .github/workflows/weekly-refresh.yml to call the new endpoint instead of the old scrape/render/Pages-deploy pipeline. Retired templates/dashboard.html.j2, scripts/render_site.py, scripts/generate_briefing.py, site/index.html. Rewrote README.md for the new architecture. Tested everything locally against the real database and confirmed correct behavior (untracked-area empty state, 404s, admin-refresh auth + stage execution). Also surfaced a real operational finding: the live Render database was seeded before Tasks 8-9 ran, so it has no real subject tags or briefings yet, and a redeploy alone won't fix that (migrate.py only runs when the db file is missing). Committed, not yet pushed.</t>
        </is>
      </c>
      <c r="C42" s="31" t="inlineStr">
        <is>
          <t>Task 10 (Frontend cutover to live API): Not started -&gt; In progress.</t>
        </is>
      </c>
    </row>
    <row r="43">
      <c r="A43" s="31" t="inlineStr">
        <is>
          <t>2026-09-20</t>
        </is>
      </c>
      <c r="B43" s="31" t="inlineStr">
        <is>
          <t>Task 10 fully closed out. Jack pushed the commit, set ANTHROPIC_API_KEY + REFRESH_TOKEN on Render and the matching REFRESH_TOKEN on GitHub (regenerating the token himself after an accidental paste into chat, rather than reusing the exposed value), and ran the real backfill call against the live service from his own terminal: 25/26 documents captured, 25/25 extracted, 44 subject tags across 25 meetings, 16 briefings written (3 correctly skipped). Independently confirmed the live API directly (not through Jack): /api/subjects/medicaid returns the real House E&amp;C meeting, /api/policy-areas returns real non-zero flagged counts for exactly the areas the live run tagged (Health 21, Government Operations and Politics 11, Social Welfare 4, Crime and Law Enforcement 2, Commerce 1, Economics and Public Finance 1, Energy 1) and zero for every untouched area, and /api/policy-areas/health/subjects lists the real subject set. This is the literal Verify-done check for this task. Task 10 marked Done.</t>
        </is>
      </c>
      <c r="C43" s="31" t="inlineStr">
        <is>
          <t>Task 10 (Frontend cutover to live API): In progress -&gt; Done. All 10 tasks in the build plan are now Done.</t>
        </is>
      </c>
    </row>
  </sheetData>
  <mergeCells count="2">
    <mergeCell ref="A2:N2"/>
    <mergeCell ref="A1:N1"/>
  </mergeCells>
  <dataValidations count="1">
    <dataValidation sqref="D8:D17" showDropDown="0" showInputMessage="0" showErrorMessage="0" allowBlank="0"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X19"/>
  <sheetViews>
    <sheetView showFormulas="0" showGridLines="1" showRowColHeaders="1" showZeros="1" rightToLeft="0" tabSelected="0" showOutlineSymbols="1" defaultGridColor="1"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baseColWidth="8" defaultColWidth="8.6796875" defaultRowHeight="15" zeroHeight="0" outlineLevelRow="0"/>
  <cols>
    <col width="4" customWidth="1" style="31" min="1" max="1"/>
    <col width="30" customWidth="1" style="31" min="2" max="2"/>
    <col width="13" customWidth="1" style="31" min="3" max="3"/>
    <col width="3" customWidth="1" style="31" min="4" max="47"/>
  </cols>
  <sheetData>
    <row r="1" ht="17.25" customHeight="1" s="32">
      <c r="A1" s="33" t="inlineStr">
        <is>
          <t>Health Docket — Gantt (auto-updates from Task Plan)</t>
        </is>
      </c>
    </row>
    <row r="2" ht="15" customHeight="1" s="32">
      <c r="A2" s="34" t="inlineStr">
        <is>
          <t>Change dates/durations/status on the Task Plan tab — this chart redraws itself.</t>
        </is>
      </c>
    </row>
    <row r="4" ht="15" customHeight="1" s="32">
      <c r="A4" s="35" t="inlineStr">
        <is>
          <t>ID</t>
        </is>
      </c>
      <c r="B4" s="35" t="inlineStr">
        <is>
          <t>Task (status)</t>
        </is>
      </c>
      <c r="C4" s="35" t="inlineStr">
        <is>
          <t>Phase</t>
        </is>
      </c>
      <c r="D4" s="56" t="n">
        <v>0</v>
      </c>
      <c r="E4" s="56" t="n">
        <v>1</v>
      </c>
      <c r="F4" s="56" t="n">
        <v>2</v>
      </c>
      <c r="G4" s="56" t="n">
        <v>3</v>
      </c>
      <c r="H4" s="56" t="n">
        <v>4</v>
      </c>
      <c r="I4" s="56" t="n">
        <v>5</v>
      </c>
      <c r="J4" s="56" t="n">
        <v>6</v>
      </c>
      <c r="K4" s="56" t="n">
        <v>7</v>
      </c>
      <c r="L4" s="56" t="n">
        <v>8</v>
      </c>
      <c r="M4" s="56" t="n">
        <v>9</v>
      </c>
      <c r="N4" s="56" t="n">
        <v>10</v>
      </c>
      <c r="O4" s="56" t="n">
        <v>11</v>
      </c>
      <c r="P4" s="56" t="n">
        <v>12</v>
      </c>
      <c r="Q4" s="56" t="n">
        <v>13</v>
      </c>
      <c r="R4" s="56" t="n">
        <v>14</v>
      </c>
      <c r="S4" s="56" t="n">
        <v>15</v>
      </c>
      <c r="T4" s="56" t="n">
        <v>16</v>
      </c>
      <c r="U4" s="56" t="n">
        <v>17</v>
      </c>
      <c r="V4" s="56" t="n">
        <v>18</v>
      </c>
      <c r="W4" s="56" t="n">
        <v>19</v>
      </c>
      <c r="X4" s="56" t="n">
        <v>20</v>
      </c>
      <c r="Y4" s="56" t="n">
        <v>21</v>
      </c>
      <c r="Z4" s="56" t="n">
        <v>22</v>
      </c>
      <c r="AA4" s="56" t="n">
        <v>23</v>
      </c>
      <c r="AB4" s="56" t="n">
        <v>24</v>
      </c>
      <c r="AC4" s="56" t="n">
        <v>25</v>
      </c>
      <c r="AD4" s="56" t="n">
        <v>26</v>
      </c>
      <c r="AE4" s="56" t="n">
        <v>27</v>
      </c>
      <c r="AF4" s="56" t="n">
        <v>28</v>
      </c>
      <c r="AG4" s="56" t="n">
        <v>29</v>
      </c>
      <c r="AH4" s="56" t="n">
        <v>30</v>
      </c>
      <c r="AI4" s="56" t="n">
        <v>31</v>
      </c>
      <c r="AJ4" s="56" t="n">
        <v>32</v>
      </c>
      <c r="AK4" s="56" t="n">
        <v>33</v>
      </c>
      <c r="AL4" s="56" t="n">
        <v>34</v>
      </c>
      <c r="AM4" s="56" t="n">
        <v>35</v>
      </c>
      <c r="AN4" s="56" t="n">
        <v>36</v>
      </c>
      <c r="AO4" s="56" t="n">
        <v>37</v>
      </c>
      <c r="AP4" s="56" t="n">
        <v>38</v>
      </c>
      <c r="AQ4" s="56" t="n">
        <v>39</v>
      </c>
      <c r="AR4" s="56" t="n">
        <v>40</v>
      </c>
      <c r="AS4" s="56" t="n">
        <v>41</v>
      </c>
      <c r="AT4" s="56" t="n">
        <v>42</v>
      </c>
      <c r="AU4" s="56" t="n">
        <v>43</v>
      </c>
      <c r="AW4" s="57" t="inlineStr">
        <is>
          <t>StartOff</t>
        </is>
      </c>
      <c r="AX4" s="57" t="inlineStr">
        <is>
          <t>EndOff</t>
        </is>
      </c>
    </row>
    <row r="5" ht="33.75" customHeight="1" s="32">
      <c r="D5" s="58">
        <f>'Task Plan'!$B$4+0</f>
        <v/>
      </c>
      <c r="E5" s="58">
        <f>'Task Plan'!$B$4+1</f>
        <v/>
      </c>
      <c r="F5" s="58">
        <f>'Task Plan'!$B$4+2</f>
        <v/>
      </c>
      <c r="G5" s="58">
        <f>'Task Plan'!$B$4+3</f>
        <v/>
      </c>
      <c r="H5" s="58">
        <f>'Task Plan'!$B$4+4</f>
        <v/>
      </c>
      <c r="I5" s="58">
        <f>'Task Plan'!$B$4+5</f>
        <v/>
      </c>
      <c r="J5" s="58">
        <f>'Task Plan'!$B$4+6</f>
        <v/>
      </c>
      <c r="K5" s="58">
        <f>'Task Plan'!$B$4+7</f>
        <v/>
      </c>
      <c r="L5" s="58">
        <f>'Task Plan'!$B$4+8</f>
        <v/>
      </c>
      <c r="M5" s="58">
        <f>'Task Plan'!$B$4+9</f>
        <v/>
      </c>
      <c r="N5" s="58">
        <f>'Task Plan'!$B$4+10</f>
        <v/>
      </c>
      <c r="O5" s="58">
        <f>'Task Plan'!$B$4+11</f>
        <v/>
      </c>
      <c r="P5" s="58">
        <f>'Task Plan'!$B$4+12</f>
        <v/>
      </c>
      <c r="Q5" s="58">
        <f>'Task Plan'!$B$4+13</f>
        <v/>
      </c>
      <c r="R5" s="58">
        <f>'Task Plan'!$B$4+14</f>
        <v/>
      </c>
      <c r="S5" s="58">
        <f>'Task Plan'!$B$4+15</f>
        <v/>
      </c>
      <c r="T5" s="58">
        <f>'Task Plan'!$B$4+16</f>
        <v/>
      </c>
      <c r="U5" s="58">
        <f>'Task Plan'!$B$4+17</f>
        <v/>
      </c>
      <c r="V5" s="58">
        <f>'Task Plan'!$B$4+18</f>
        <v/>
      </c>
      <c r="W5" s="58">
        <f>'Task Plan'!$B$4+19</f>
        <v/>
      </c>
      <c r="X5" s="58">
        <f>'Task Plan'!$B$4+20</f>
        <v/>
      </c>
      <c r="Y5" s="58">
        <f>'Task Plan'!$B$4+21</f>
        <v/>
      </c>
      <c r="Z5" s="58">
        <f>'Task Plan'!$B$4+22</f>
        <v/>
      </c>
      <c r="AA5" s="58">
        <f>'Task Plan'!$B$4+23</f>
        <v/>
      </c>
      <c r="AB5" s="58">
        <f>'Task Plan'!$B$4+24</f>
        <v/>
      </c>
      <c r="AC5" s="58">
        <f>'Task Plan'!$B$4+25</f>
        <v/>
      </c>
      <c r="AD5" s="58">
        <f>'Task Plan'!$B$4+26</f>
        <v/>
      </c>
      <c r="AE5" s="58">
        <f>'Task Plan'!$B$4+27</f>
        <v/>
      </c>
      <c r="AF5" s="58">
        <f>'Task Plan'!$B$4+28</f>
        <v/>
      </c>
      <c r="AG5" s="58">
        <f>'Task Plan'!$B$4+29</f>
        <v/>
      </c>
      <c r="AH5" s="58">
        <f>'Task Plan'!$B$4+30</f>
        <v/>
      </c>
      <c r="AI5" s="58">
        <f>'Task Plan'!$B$4+31</f>
        <v/>
      </c>
      <c r="AJ5" s="58">
        <f>'Task Plan'!$B$4+32</f>
        <v/>
      </c>
      <c r="AK5" s="58">
        <f>'Task Plan'!$B$4+33</f>
        <v/>
      </c>
      <c r="AL5" s="58">
        <f>'Task Plan'!$B$4+34</f>
        <v/>
      </c>
      <c r="AM5" s="58">
        <f>'Task Plan'!$B$4+35</f>
        <v/>
      </c>
      <c r="AN5" s="58">
        <f>'Task Plan'!$B$4+36</f>
        <v/>
      </c>
      <c r="AO5" s="58">
        <f>'Task Plan'!$B$4+37</f>
        <v/>
      </c>
      <c r="AP5" s="58">
        <f>'Task Plan'!$B$4+38</f>
        <v/>
      </c>
      <c r="AQ5" s="58">
        <f>'Task Plan'!$B$4+39</f>
        <v/>
      </c>
      <c r="AR5" s="58">
        <f>'Task Plan'!$B$4+40</f>
        <v/>
      </c>
      <c r="AS5" s="58">
        <f>'Task Plan'!$B$4+41</f>
        <v/>
      </c>
      <c r="AT5" s="58">
        <f>'Task Plan'!$B$4+42</f>
        <v/>
      </c>
      <c r="AU5" s="58">
        <f>'Task Plan'!$B$4+43</f>
        <v/>
      </c>
    </row>
    <row r="7" ht="15" customHeight="1" s="32">
      <c r="A7" s="39">
        <f>'Task Plan'!A8</f>
        <v/>
      </c>
      <c r="B7" s="59">
        <f>'Task Plan'!B8&amp;" ["&amp;'Task Plan'!D8&amp;"]"</f>
        <v/>
      </c>
      <c r="C7" s="60">
        <f>'Task Plan'!C8</f>
        <v/>
      </c>
      <c r="AW7" s="61">
        <f>'Task Plan'!G8</f>
        <v/>
      </c>
      <c r="AX7" s="61">
        <f>'Task Plan'!H8</f>
        <v/>
      </c>
    </row>
    <row r="8" ht="15" customHeight="1" s="32">
      <c r="A8" s="39">
        <f>'Task Plan'!A9</f>
        <v/>
      </c>
      <c r="B8" s="59">
        <f>'Task Plan'!B9&amp;" ["&amp;'Task Plan'!D9&amp;"]"</f>
        <v/>
      </c>
      <c r="C8" s="60">
        <f>'Task Plan'!C9</f>
        <v/>
      </c>
      <c r="AW8" s="61">
        <f>'Task Plan'!G9</f>
        <v/>
      </c>
      <c r="AX8" s="61">
        <f>'Task Plan'!H9</f>
        <v/>
      </c>
    </row>
    <row r="9" ht="15" customHeight="1" s="32">
      <c r="A9" s="39">
        <f>'Task Plan'!A10</f>
        <v/>
      </c>
      <c r="B9" s="59">
        <f>'Task Plan'!B10&amp;" ["&amp;'Task Plan'!D10&amp;"]"</f>
        <v/>
      </c>
      <c r="C9" s="60">
        <f>'Task Plan'!C10</f>
        <v/>
      </c>
      <c r="AW9" s="61">
        <f>'Task Plan'!G10</f>
        <v/>
      </c>
      <c r="AX9" s="61">
        <f>'Task Plan'!H10</f>
        <v/>
      </c>
    </row>
    <row r="10" ht="15" customHeight="1" s="32">
      <c r="A10" s="39">
        <f>'Task Plan'!A11</f>
        <v/>
      </c>
      <c r="B10" s="59">
        <f>'Task Plan'!B11&amp;" ["&amp;'Task Plan'!D11&amp;"]"</f>
        <v/>
      </c>
      <c r="C10" s="60">
        <f>'Task Plan'!C11</f>
        <v/>
      </c>
      <c r="AW10" s="61">
        <f>'Task Plan'!G11</f>
        <v/>
      </c>
      <c r="AX10" s="61">
        <f>'Task Plan'!H11</f>
        <v/>
      </c>
    </row>
    <row r="11" ht="15" customHeight="1" s="32">
      <c r="A11" s="39">
        <f>'Task Plan'!A12</f>
        <v/>
      </c>
      <c r="B11" s="59">
        <f>'Task Plan'!B12&amp;" ["&amp;'Task Plan'!D12&amp;"]"</f>
        <v/>
      </c>
      <c r="C11" s="60">
        <f>'Task Plan'!C12</f>
        <v/>
      </c>
      <c r="AW11" s="61">
        <f>'Task Plan'!G12</f>
        <v/>
      </c>
      <c r="AX11" s="61">
        <f>'Task Plan'!H12</f>
        <v/>
      </c>
    </row>
    <row r="12" ht="15" customHeight="1" s="32">
      <c r="A12" s="39">
        <f>'Task Plan'!A13</f>
        <v/>
      </c>
      <c r="B12" s="59">
        <f>'Task Plan'!B13&amp;" ["&amp;'Task Plan'!D13&amp;"]"</f>
        <v/>
      </c>
      <c r="C12" s="60">
        <f>'Task Plan'!C13</f>
        <v/>
      </c>
      <c r="AW12" s="61">
        <f>'Task Plan'!G13</f>
        <v/>
      </c>
      <c r="AX12" s="61">
        <f>'Task Plan'!H13</f>
        <v/>
      </c>
    </row>
    <row r="13" ht="15" customHeight="1" s="32">
      <c r="A13" s="39">
        <f>'Task Plan'!A14</f>
        <v/>
      </c>
      <c r="B13" s="59">
        <f>'Task Plan'!B14&amp;" ["&amp;'Task Plan'!D14&amp;"]"</f>
        <v/>
      </c>
      <c r="C13" s="60">
        <f>'Task Plan'!C14</f>
        <v/>
      </c>
      <c r="AW13" s="61">
        <f>'Task Plan'!G14</f>
        <v/>
      </c>
      <c r="AX13" s="61">
        <f>'Task Plan'!H14</f>
        <v/>
      </c>
    </row>
    <row r="14" ht="15" customHeight="1" s="32">
      <c r="A14" s="39">
        <f>'Task Plan'!A15</f>
        <v/>
      </c>
      <c r="B14" s="59">
        <f>'Task Plan'!B15&amp;" ["&amp;'Task Plan'!D15&amp;"]"</f>
        <v/>
      </c>
      <c r="C14" s="60">
        <f>'Task Plan'!C15</f>
        <v/>
      </c>
      <c r="AW14" s="61">
        <f>'Task Plan'!G15</f>
        <v/>
      </c>
      <c r="AX14" s="61">
        <f>'Task Plan'!H15</f>
        <v/>
      </c>
    </row>
    <row r="15" ht="15" customHeight="1" s="32">
      <c r="A15" s="39">
        <f>'Task Plan'!A16</f>
        <v/>
      </c>
      <c r="B15" s="59">
        <f>'Task Plan'!B16&amp;" ["&amp;'Task Plan'!D16&amp;"]"</f>
        <v/>
      </c>
      <c r="C15" s="60">
        <f>'Task Plan'!C16</f>
        <v/>
      </c>
      <c r="AW15" s="61">
        <f>'Task Plan'!G16</f>
        <v/>
      </c>
      <c r="AX15" s="61">
        <f>'Task Plan'!H16</f>
        <v/>
      </c>
    </row>
    <row r="16" ht="15" customHeight="1" s="32">
      <c r="A16" s="39">
        <f>'Task Plan'!A17</f>
        <v/>
      </c>
      <c r="B16" s="59">
        <f>'Task Plan'!B17&amp;" ["&amp;'Task Plan'!D17&amp;"]"</f>
        <v/>
      </c>
      <c r="C16" s="60">
        <f>'Task Plan'!C17</f>
        <v/>
      </c>
      <c r="AW16" s="61">
        <f>'Task Plan'!G17</f>
        <v/>
      </c>
      <c r="AX16" s="61">
        <f>'Task Plan'!H17</f>
        <v/>
      </c>
    </row>
    <row r="19" ht="15" customHeight="1" s="32">
      <c r="A19" s="35" t="inlineStr">
        <is>
          <t>Phase legend:</t>
        </is>
      </c>
      <c r="B19" s="51" t="inlineStr">
        <is>
          <t>Foundation</t>
        </is>
      </c>
      <c r="C19" s="52" t="inlineStr">
        <is>
          <t>Data pipeline</t>
        </is>
      </c>
      <c r="D19" s="53" t="inlineStr">
        <is>
          <t>Backend/Frontend</t>
        </is>
      </c>
      <c r="E19" s="54" t="inlineStr">
        <is>
          <t>Launch</t>
        </is>
      </c>
    </row>
  </sheetData>
  <mergeCells count="2">
    <mergeCell ref="A2:H2"/>
    <mergeCell ref="A1:H1"/>
  </mergeCells>
  <conditionalFormatting sqref="D7:AU16">
    <cfRule type="expression" rank="0" priority="2" equalAverage="0" aboveAverage="0" dxfId="0" text="" percent="0" bottom="0">
      <formula>AND(D$4&gt;=$AW7,D$4&lt;=$AX7,$C7="Foundation")</formula>
    </cfRule>
    <cfRule type="expression" rank="0" priority="3" equalAverage="0" aboveAverage="0" dxfId="1" text="" percent="0" bottom="0">
      <formula>AND(D$4&gt;=$AW7,D$4&lt;=$AX7,$C7="Data pipeline")</formula>
    </cfRule>
    <cfRule type="expression" rank="0" priority="4" equalAverage="0" aboveAverage="0" dxfId="2" text="" percent="0" bottom="0">
      <formula>AND(D$4&gt;=$AW7,D$4&lt;=$AX7,$C7="Backend/Frontend")</formula>
    </cfRule>
    <cfRule type="expression" rank="0" priority="5" equalAverage="0" aboveAverage="0" dxfId="3" text="" percent="0" bottom="0">
      <formula>AND(D$4&gt;=$AW7,D$4&lt;=$AX7,$C7="Launch")</formula>
    </cfRule>
  </conditionalFormatting>
  <conditionalFormatting sqref="D5:AU5">
    <cfRule type="expression" rank="0" priority="6" equalAverage="0" aboveAverage="0" dxfId="4" text="" percent="0" bottom="0">
      <formula>D5=TODAY()</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2026-09-19T19:45:01Z</dcterms:created>
  <dcterms:modified xmlns:dcterms="http://purl.org/dc/terms/" xmlns:xsi="http://www.w3.org/2001/XMLSchema-instance" xsi:type="dcterms:W3CDTF">2026-09-20T17:09:31Z</dcterms:modified>
  <cp:revision>0</cp:revision>
</cp:coreProperties>
</file>