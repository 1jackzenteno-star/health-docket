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Plan" sheetId="1" state="visible" r:id="rId3"/>
    <sheet name="Gan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<sst xmlns="http://schemas.openxmlformats.org/spreadsheetml/2006/main" count="123" uniqueCount="95">
  <si>
    <t xml:space="preserve">Health Docket — Repo Restructuring Gantt</t>
  </si>
  <si>
    <t xml:space="preserve">Edit yellow cells only: Status, and Duration/Manual Start where shown. Everything else recalculates. Task list/phases/dependencies from policy-docket-design-spec.docx §8 (spec of record); durations are Claude's estimates, not from the spec.</t>
  </si>
  <si>
    <t xml:space="preserve">Project Start Date</t>
  </si>
  <si>
    <t xml:space="preserve">2026-09-22</t>
  </si>
  <si>
    <t xml:space="preserve">As of / today</t>
  </si>
  <si>
    <t xml:space="preserve">ID</t>
  </si>
  <si>
    <t xml:space="preserve">Task</t>
  </si>
  <si>
    <t xml:space="preserve">Phase</t>
  </si>
  <si>
    <t xml:space="preserve">Status</t>
  </si>
  <si>
    <t xml:space="preserve">Predecessor(s)</t>
  </si>
  <si>
    <t xml:space="preserve">Duration (days, Claude's estimate)</t>
  </si>
  <si>
    <t xml:space="preserve">Start Offset</t>
  </si>
  <si>
    <t xml:space="preserve">End Offset</t>
  </si>
  <si>
    <t xml:space="preserve">Start Date</t>
  </si>
  <si>
    <t xml:space="preserve">End Date</t>
  </si>
  <si>
    <t xml:space="preserve">Files this task creates/changes</t>
  </si>
  <si>
    <t xml:space="preserve">Notes</t>
  </si>
  <si>
    <t xml:space="preserve">Design reference (policy-docket-design-spec.docx)</t>
  </si>
  <si>
    <t xml:space="preserve">Verify done (run this yourself)</t>
  </si>
  <si>
    <t xml:space="preserve">Design &amp; migrate schema</t>
  </si>
  <si>
    <t xml:space="preserve">Foundation</t>
  </si>
  <si>
    <t xml:space="preserve">In progress</t>
  </si>
  <si>
    <t xml:space="preserve">—</t>
  </si>
  <si>
    <t xml:space="preserve">db/schema.sql; db/migrate_from_json.py; db/docket.sqlite (generated)</t>
  </si>
  <si>
    <t xml:space="preserve">Already started: db/schema.sql and db/migrate.py exist in the repo as of 2026-09-19.</t>
  </si>
  <si>
    <t xml:space="preserve">Spec §4 Data Model — column-level detail for bodies/meetings/meeting_documents/meeting_subjects, plus the full 11-table schema in §4 of the earlier system-design.docx.</t>
  </si>
  <si>
    <t xml:space="preserve">Run the migration script; row counts in the new tables must match meetings.json/briefing.json exactly, and every meeting_id/body_id foreign key must resolve — no orphans.</t>
  </si>
  <si>
    <t xml:space="preserve">Verify Legistar API access (nnph-dboh)</t>
  </si>
  <si>
    <t xml:space="preserve">Not started</t>
  </si>
  <si>
    <t xml:space="preserve">scrapers/legistar.py</t>
  </si>
  <si>
    <t xml:space="preserve">Also fix the nnph-dboh body_name bug found 2026-09-19: config says 'District Board of Health', the live Legistar site says 'Northern Nevada Public Health'. Spec §10 flags this as an open risk ("Legistar API access unconfirmed... org-level network/domain-allowlist question").</t>
  </si>
  <si>
    <t xml:space="preserve">Spec §10 Risks &amp; Open Questions — "Legistar API access unconfirmed" row; scrapers/legistar.py already has the webapi.legistar.com attempt + HTML fallback.</t>
  </si>
  <si>
    <t xml:space="preserve">Call webapi.legistar.com/v1/washoe/events directly; confirm it returns real event JSON, not an error. If it fails, run the HTML-fallback path in legistar.py and confirm it returns real meetings for 'Northern Nevada Public Health' (not zero, per the body_name bug above).</t>
  </si>
  <si>
    <t xml:space="preserve">Harden NELIS scraper selectors</t>
  </si>
  <si>
    <t xml:space="preserve">scrapers/nelis.py</t>
  </si>
  <si>
    <t xml:space="preserve">Repo's own docstring calls this 'the least-tested scraper' — selectors were written blind, never verified against the live site.</t>
  </si>
  <si>
    <t xml:space="preserve">Spec §10 Risks &amp; Open Questions — "NELIS selectors unverified... Open — Task 3 in the build plan."</t>
  </si>
  <si>
    <t xml:space="preserve">Run scrapers/nelis.py against the live leg.state.nv.us site; confirm it returns real meeting rows for the Joint Interim Standing Committee on Health &amp; Human Services, not an empty list.</t>
  </si>
  <si>
    <t xml:space="preserve">Provision hosting</t>
  </si>
  <si>
    <t xml:space="preserve">deploy/render.yaml (or fly.toml); deploy/.env.example</t>
  </si>
  <si>
    <t xml:space="preserve">The one task where Jack creates the account/billing — not something Claude can do.</t>
  </si>
  <si>
    <t xml:space="preserve">Spec §9.3 Rough cost estimate — hosting ~$5-10/mo (Render, Railway, Fly.io, or a cheap VPS).</t>
  </si>
  <si>
    <t xml:space="preserve">Hit the hosted app's URL from a browser with no VPN, on a different network than Jack's Mac; confirm it actually responds, not just reachable on localhost.</t>
  </si>
  <si>
    <t xml:space="preserve">Backend API</t>
  </si>
  <si>
    <t xml:space="preserve">Backend/Frontend</t>
  </si>
  <si>
    <t xml:space="preserve">T1</t>
  </si>
  <si>
    <t xml:space="preserve">api/main.py; api/db.py; api/routes/policy_areas.py; api/routes/health.py; api/routes/subjects.py; api/routes/focus_areas.py</t>
  </si>
  <si>
    <t xml:space="preserve">Needs the schema from Task 1. Seven endpoints per spec §6.</t>
  </si>
  <si>
    <t xml:space="preserve">Spec §6 API Specification — 7 endpoints: GET /api/policy-areas, GET /api/policy-areas/{slug}/snapshot, /attention, /bodies, GET /api/subjects/{slug}, GET+POST /api/focus-areas. Every read endpoint returns {data, generated_at}; AI-derived fields nest under model_version (spec §6, NFR3).</t>
  </si>
  <si>
    <t xml:space="preserve">curl each of the 7 endpoints in spec §6 against the running API; confirm each returns the documented JSON envelope {data, generated_at} and the correct error code (404/400) for bad input.</t>
  </si>
  <si>
    <t xml:space="preserve">Document capture pipeline</t>
  </si>
  <si>
    <t xml:space="preserve">Data pipeline</t>
  </si>
  <si>
    <t xml:space="preserve">T1, T2, T3</t>
  </si>
  <si>
    <t xml:space="preserve">pipeline/capture_documents.py</t>
  </si>
  <si>
    <t xml:space="preserve">Per spec §8, this depends on the schema AND both scraper-verification tasks — not just the schema — since it needs confirmed-working scrapers to know which documents are even reachable.</t>
  </si>
  <si>
    <t xml:space="preserve">Spec §9.2 pipeline stage table, row 'Capture documents': input = meeting_documents rows with a source_file_url, output = files downloaded + capture_status updated, failure = a 404/auth wall sets capture_status back to not_linked with a logged reason.</t>
  </si>
  <si>
    <t xml:space="preserve">Query meeting_documents after a run; confirm capture_status has moved past 'not_linked' for at least one meeting with a known real agenda/minutes URL, and that the file actually downloaded.</t>
  </si>
  <si>
    <t xml:space="preserve">Extraction pipeline (OCR + LLM)</t>
  </si>
  <si>
    <t xml:space="preserve">T6</t>
  </si>
  <si>
    <t xml:space="preserve">pipeline/extract_text.py</t>
  </si>
  <si>
    <t xml:space="preserve">Needs captured documents from Task 6.</t>
  </si>
  <si>
    <t xml:space="preserve">Spec §9.2 pipeline stage table, row 'Extract': input = captured files, output = extracted_text + extraction_status, failure = OCR/LLM failure sets extraction_status='failed', keeps prior state.</t>
  </si>
  <si>
    <t xml:space="preserve">Query a captured meeting's extracted_text column; confirm it holds real text pulled from the actual file, not null/empty, and extraction_status = success.</t>
  </si>
  <si>
    <t xml:space="preserve">Subject tagging (LLM)</t>
  </si>
  <si>
    <t xml:space="preserve">T7</t>
  </si>
  <si>
    <t xml:space="preserve">pipeline/tag_subjects.py</t>
  </si>
  <si>
    <t xml:space="preserve">Needs extracted text from Task 7.</t>
  </si>
  <si>
    <t xml:space="preserve">Spec §4.1 meeting_subjects table (meeting_id, subject_id, confidence, tagged_by) + §9.2 pipeline stage 'Tag subjects': below-threshold confidence is stored and surfaced, never discarded.</t>
  </si>
  <si>
    <t xml:space="preserve">Query meeting_subjects for a known meeting (e.g. the House E&amp;C Medicaid hearing already in the repo); confirm a real subject_id and confidence score, tagged_by='ai' — not the old body-level admin tag standing in for it.</t>
  </si>
  <si>
    <t xml:space="preserve">Briefing generation upgrade</t>
  </si>
  <si>
    <t xml:space="preserve">T8</t>
  </si>
  <si>
    <t xml:space="preserve">pipeline/generate_briefings.py</t>
  </si>
  <si>
    <t xml:space="preserve">Needs real subject tags from Task 8.</t>
  </si>
  <si>
    <t xml:space="preserve">Spec §9.2 pipeline stage table, row 'Generate briefings': input = extracted_text + meeting_subjects, output = briefings rows with model_version.</t>
  </si>
  <si>
    <t xml:space="preserve">Check briefings for that same meeting; confirm the note text reflects the actual extracted agenda/minutes content, not just the meeting title the way the current generator does.</t>
  </si>
  <si>
    <t xml:space="preserve">Frontend cutover to live API</t>
  </si>
  <si>
    <t xml:space="preserve">Launch</t>
  </si>
  <si>
    <t xml:space="preserve">T5, T9, T4</t>
  </si>
  <si>
    <t xml:space="preserve">templates/overview.html.j2; templates/health.html.j2; templates/subject.html.j2; static/docket.css; static/docket.js; .github/workflows/weekly-refresh.yml; README.md; retires data/*.json and scripts/render_site.py</t>
  </si>
  <si>
    <t xml:space="preserve">Per spec §8, this is the single final task — ports the prototype's screens to the live API AND cuts over hosting/CI in one step, rather than two separate tasks.</t>
  </si>
  <si>
    <t xml:space="preserve">Spec §7 Frontend Implementation Approach + §6 (swap each screen's hardcoded JS array for a fetch() call to its matching endpoint).</t>
  </si>
  <si>
    <t xml:space="preserve">Open the live hosted site; confirm the Medicaid subject page pulls from the real API (Network tab shows a fetch to /api/subjects/medicaid, not a hardcoded array) and the Overview grid's counts match a direct query against the database.</t>
  </si>
  <si>
    <t xml:space="preserve">Phase legend:</t>
  </si>
  <si>
    <t xml:space="preserve">Session log — append one row per session, don't overwrite prior rows</t>
  </si>
  <si>
    <t xml:space="preserve">Date</t>
  </si>
  <si>
    <t xml:space="preserve">What changed</t>
  </si>
  <si>
    <t xml:space="preserve">Task status changes</t>
  </si>
  <si>
    <t xml:space="preserve">2026-09-19</t>
  </si>
  <si>
    <t xml:space="preserve">Rebuilt this Task Plan's 10 rows to match policy-docket-design-spec.docx §8 Build Plan (previously based on the outdated “Docket Build Map” artifact, which used a different task split and dependency set). Added the Design reference and Verify done columns.</t>
  </si>
  <si>
    <t xml:space="preserve">No task status changed by this rebuild. Task 1 remains In progress (unchanged from prior session).</t>
  </si>
  <si>
    <t xml:space="preserve">Health Docket — Gantt (auto-updates from Task Plan)</t>
  </si>
  <si>
    <t xml:space="preserve">Change dates/durations/status on the Task Plan tab — this chart redraws itself.</t>
  </si>
  <si>
    <t xml:space="preserve">Task (status)</t>
  </si>
  <si>
    <t xml:space="preserve">StartOff</t>
  </si>
  <si>
    <t xml:space="preserve">EndOff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</si>
</sst>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m/d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1F5C2E"/>
      <name val="Arial"/>
      <family val="0"/>
      <charset val="1"/>
    </font>
    <font>
      <sz val="7"/>
      <color rgb="FF999999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AAAAA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262B"/>
        <bgColor rgb="FF333300"/>
      </patternFill>
    </fill>
    <fill>
      <patternFill patternType="solid">
        <fgColor rgb="FFDCE1EC"/>
        <bgColor rgb="FFDCEAD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ADF"/>
        <bgColor rgb="FFDCE1EC"/>
      </patternFill>
    </fill>
    <fill>
      <patternFill patternType="solid">
        <fgColor rgb="FFE9CDBF"/>
        <bgColor rgb="FFEEE0CB"/>
      </patternFill>
    </fill>
    <fill>
      <patternFill patternType="solid">
        <fgColor rgb="FFEEE0CB"/>
        <bgColor rgb="FFDCEADF"/>
      </patternFill>
    </fill>
    <fill>
      <patternFill patternType="solid">
        <fgColor rgb="FF3B4A6B"/>
        <bgColor rgb="FF3F6B4E"/>
      </patternFill>
    </fill>
    <fill>
      <patternFill patternType="solid">
        <fgColor rgb="FFA9402A"/>
        <bgColor rgb="FF993366"/>
      </patternFill>
    </fill>
    <fill>
      <patternFill patternType="solid">
        <fgColor rgb="FF3F6B4E"/>
        <bgColor rgb="FF666666"/>
      </patternFill>
    </fill>
    <fill>
      <patternFill patternType="solid">
        <fgColor rgb="FF8A5A2B"/>
        <bgColor rgb="FFA9402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3B4A6B"/>
        </patternFill>
      </fill>
    </dxf>
    <dxf>
      <fill>
        <patternFill>
          <bgColor rgb="FFA9402A"/>
        </patternFill>
      </fill>
    </dxf>
    <dxf>
      <fill>
        <patternFill>
          <bgColor rgb="FF3F6B4E"/>
        </patternFill>
      </fill>
    </dxf>
    <dxf>
      <fill>
        <patternFill>
          <bgColor rgb="FF8A5A2B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C2E"/>
      <rgbColor rgb="FF000080"/>
      <rgbColor rgb="FF8A5A2B"/>
      <rgbColor rgb="FF800080"/>
      <rgbColor rgb="FF008080"/>
      <rgbColor rgb="FFAAAAAA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C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DF"/>
      <rgbColor rgb="FFEEE0CB"/>
      <rgbColor rgb="FF99CCFF"/>
      <rgbColor rgb="FFFF99CC"/>
      <rgbColor rgb="FFCC99FF"/>
      <rgbColor rgb="FFE9CDBF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F6B4E"/>
      <rgbColor rgb="FF003300"/>
      <rgbColor rgb="FF333300"/>
      <rgbColor rgb="FFA9402A"/>
      <rgbColor rgb="FF993366"/>
      <rgbColor rgb="FF3B4A6B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30"/>
    <col collapsed="false" customWidth="true" hidden="false" outlineLevel="0" max="12" min="12" style="0" width="34"/>
    <col collapsed="false" customWidth="true" hidden="false" outlineLevel="0" max="13" min="13" style="0" width="40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n">
        <f aca="true">TODAY()</f>
        <v>46284</v>
      </c>
    </row>
    <row r="7" customFormat="false" ht="52.2" hidden="false" customHeight="fals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</row>
    <row r="8" customFormat="false" ht="31.5" hidden="false" customHeight="true" outlineLevel="0" collapsed="false">
      <c r="A8" s="7" t="n">
        <v>1</v>
      </c>
      <c r="B8" s="7" t="s">
        <v>19</v>
      </c>
      <c r="C8" s="8" t="s">
        <v>20</v>
      </c>
      <c r="D8" s="9" t="s">
        <v>21</v>
      </c>
      <c r="E8" s="7" t="s">
        <v>22</v>
      </c>
      <c r="F8" s="10" t="n">
        <v>7</v>
      </c>
      <c r="G8" s="10" t="n">
        <v>0</v>
      </c>
      <c r="H8" s="7" t="n">
        <f aca="false">G8+F8-1</f>
        <v>6</v>
      </c>
      <c r="I8" s="11" t="n">
        <f aca="false">$B$4+G8</f>
        <v>46287</v>
      </c>
      <c r="J8" s="11" t="n">
        <f aca="false">$B$4+H8</f>
        <v>46293</v>
      </c>
      <c r="K8" s="12" t="s">
        <v>23</v>
      </c>
      <c r="L8" s="13" t="s">
        <v>24</v>
      </c>
      <c r="M8" s="12" t="s">
        <v>25</v>
      </c>
      <c r="N8" s="14" t="s">
        <v>26</v>
      </c>
    </row>
    <row r="9" customFormat="false" ht="31.5" hidden="false" customHeight="true" outlineLevel="0" collapsed="false">
      <c r="A9" s="7" t="n">
        <v>2</v>
      </c>
      <c r="B9" s="7" t="s">
        <v>27</v>
      </c>
      <c r="C9" s="8" t="s">
        <v>20</v>
      </c>
      <c r="D9" s="15" t="s">
        <v>28</v>
      </c>
      <c r="E9" s="7" t="s">
        <v>22</v>
      </c>
      <c r="F9" s="10" t="n">
        <v>3</v>
      </c>
      <c r="G9" s="10" t="n">
        <v>0</v>
      </c>
      <c r="H9" s="7" t="n">
        <f aca="false">G9+F9-1</f>
        <v>2</v>
      </c>
      <c r="I9" s="11" t="n">
        <f aca="false">$B$4+G9</f>
        <v>46287</v>
      </c>
      <c r="J9" s="11" t="n">
        <f aca="false">$B$4+H9</f>
        <v>46289</v>
      </c>
      <c r="K9" s="12" t="s">
        <v>29</v>
      </c>
      <c r="L9" s="13" t="s">
        <v>30</v>
      </c>
      <c r="M9" s="12" t="s">
        <v>31</v>
      </c>
      <c r="N9" s="14" t="s">
        <v>32</v>
      </c>
    </row>
    <row r="10" customFormat="false" ht="31.5" hidden="false" customHeight="true" outlineLevel="0" collapsed="false">
      <c r="A10" s="7" t="n">
        <v>3</v>
      </c>
      <c r="B10" s="7" t="s">
        <v>33</v>
      </c>
      <c r="C10" s="8" t="s">
        <v>20</v>
      </c>
      <c r="D10" s="15" t="s">
        <v>28</v>
      </c>
      <c r="E10" s="7" t="s">
        <v>22</v>
      </c>
      <c r="F10" s="10" t="n">
        <v>4</v>
      </c>
      <c r="G10" s="10" t="n">
        <v>0</v>
      </c>
      <c r="H10" s="7" t="n">
        <f aca="false">G10+F10-1</f>
        <v>3</v>
      </c>
      <c r="I10" s="11" t="n">
        <f aca="false">$B$4+G10</f>
        <v>46287</v>
      </c>
      <c r="J10" s="11" t="n">
        <f aca="false">$B$4+H10</f>
        <v>46290</v>
      </c>
      <c r="K10" s="12" t="s">
        <v>34</v>
      </c>
      <c r="L10" s="13" t="s">
        <v>35</v>
      </c>
      <c r="M10" s="12" t="s">
        <v>36</v>
      </c>
      <c r="N10" s="14" t="s">
        <v>37</v>
      </c>
    </row>
    <row r="11" customFormat="false" ht="31.5" hidden="false" customHeight="true" outlineLevel="0" collapsed="false">
      <c r="A11" s="7" t="n">
        <v>4</v>
      </c>
      <c r="B11" s="7" t="s">
        <v>38</v>
      </c>
      <c r="C11" s="8" t="s">
        <v>20</v>
      </c>
      <c r="D11" s="15" t="s">
        <v>28</v>
      </c>
      <c r="E11" s="7" t="s">
        <v>22</v>
      </c>
      <c r="F11" s="10" t="n">
        <v>4</v>
      </c>
      <c r="G11" s="10" t="n">
        <v>3</v>
      </c>
      <c r="H11" s="7" t="n">
        <f aca="false">G11+F11-1</f>
        <v>6</v>
      </c>
      <c r="I11" s="11" t="n">
        <f aca="false">$B$4+G11</f>
        <v>46290</v>
      </c>
      <c r="J11" s="11" t="n">
        <f aca="false">$B$4+H11</f>
        <v>46293</v>
      </c>
      <c r="K11" s="12" t="s">
        <v>39</v>
      </c>
      <c r="L11" s="13" t="s">
        <v>40</v>
      </c>
      <c r="M11" s="12" t="s">
        <v>41</v>
      </c>
      <c r="N11" s="14" t="s">
        <v>42</v>
      </c>
    </row>
    <row r="12" customFormat="false" ht="31.5" hidden="false" customHeight="true" outlineLevel="0" collapsed="false">
      <c r="A12" s="7" t="n">
        <v>5</v>
      </c>
      <c r="B12" s="7" t="s">
        <v>43</v>
      </c>
      <c r="C12" s="16" t="s">
        <v>44</v>
      </c>
      <c r="D12" s="15" t="s">
        <v>28</v>
      </c>
      <c r="E12" s="7" t="s">
        <v>45</v>
      </c>
      <c r="F12" s="10" t="n">
        <v>10</v>
      </c>
      <c r="G12" s="7" t="n">
        <f aca="false">$H$8+1</f>
        <v>7</v>
      </c>
      <c r="H12" s="7" t="n">
        <f aca="false">G12+F12-1</f>
        <v>16</v>
      </c>
      <c r="I12" s="11" t="n">
        <f aca="false">$B$4+G12</f>
        <v>46294</v>
      </c>
      <c r="J12" s="11" t="n">
        <f aca="false">$B$4+H12</f>
        <v>46303</v>
      </c>
      <c r="K12" s="12" t="s">
        <v>46</v>
      </c>
      <c r="L12" s="13" t="s">
        <v>47</v>
      </c>
      <c r="M12" s="12" t="s">
        <v>48</v>
      </c>
      <c r="N12" s="14" t="s">
        <v>49</v>
      </c>
    </row>
    <row r="13" customFormat="false" ht="31.5" hidden="false" customHeight="true" outlineLevel="0" collapsed="false">
      <c r="A13" s="7" t="n">
        <v>6</v>
      </c>
      <c r="B13" s="7" t="s">
        <v>50</v>
      </c>
      <c r="C13" s="17" t="s">
        <v>51</v>
      </c>
      <c r="D13" s="15" t="s">
        <v>28</v>
      </c>
      <c r="E13" s="7" t="s">
        <v>52</v>
      </c>
      <c r="F13" s="10" t="n">
        <v>10</v>
      </c>
      <c r="G13" s="7" t="n">
        <f aca="false">MAX($H$8,$H$9,$H$10)+1</f>
        <v>7</v>
      </c>
      <c r="H13" s="7" t="n">
        <f aca="false">G13+F13-1</f>
        <v>16</v>
      </c>
      <c r="I13" s="11" t="n">
        <f aca="false">$B$4+G13</f>
        <v>46294</v>
      </c>
      <c r="J13" s="11" t="n">
        <f aca="false">$B$4+H13</f>
        <v>46303</v>
      </c>
      <c r="K13" s="12" t="s">
        <v>53</v>
      </c>
      <c r="L13" s="13" t="s">
        <v>54</v>
      </c>
      <c r="M13" s="12" t="s">
        <v>55</v>
      </c>
      <c r="N13" s="14" t="s">
        <v>56</v>
      </c>
    </row>
    <row r="14" customFormat="false" ht="31.5" hidden="false" customHeight="true" outlineLevel="0" collapsed="false">
      <c r="A14" s="7" t="n">
        <v>7</v>
      </c>
      <c r="B14" s="7" t="s">
        <v>57</v>
      </c>
      <c r="C14" s="17" t="s">
        <v>51</v>
      </c>
      <c r="D14" s="15" t="s">
        <v>28</v>
      </c>
      <c r="E14" s="7" t="s">
        <v>58</v>
      </c>
      <c r="F14" s="10" t="n">
        <v>7</v>
      </c>
      <c r="G14" s="7" t="n">
        <f aca="false">$H$13+1</f>
        <v>17</v>
      </c>
      <c r="H14" s="7" t="n">
        <f aca="false">G14+F14-1</f>
        <v>23</v>
      </c>
      <c r="I14" s="11" t="n">
        <f aca="false">$B$4+G14</f>
        <v>46304</v>
      </c>
      <c r="J14" s="11" t="n">
        <f aca="false">$B$4+H14</f>
        <v>46310</v>
      </c>
      <c r="K14" s="12" t="s">
        <v>59</v>
      </c>
      <c r="L14" s="13" t="s">
        <v>60</v>
      </c>
      <c r="M14" s="12" t="s">
        <v>61</v>
      </c>
      <c r="N14" s="14" t="s">
        <v>62</v>
      </c>
    </row>
    <row r="15" customFormat="false" ht="31.5" hidden="false" customHeight="true" outlineLevel="0" collapsed="false">
      <c r="A15" s="7" t="n">
        <v>8</v>
      </c>
      <c r="B15" s="7" t="s">
        <v>63</v>
      </c>
      <c r="C15" s="17" t="s">
        <v>51</v>
      </c>
      <c r="D15" s="15" t="s">
        <v>28</v>
      </c>
      <c r="E15" s="7" t="s">
        <v>64</v>
      </c>
      <c r="F15" s="10" t="n">
        <v>7</v>
      </c>
      <c r="G15" s="7" t="n">
        <f aca="false">$H$14+1</f>
        <v>24</v>
      </c>
      <c r="H15" s="7" t="n">
        <f aca="false">G15+F15-1</f>
        <v>30</v>
      </c>
      <c r="I15" s="11" t="n">
        <f aca="false">$B$4+G15</f>
        <v>46311</v>
      </c>
      <c r="J15" s="11" t="n">
        <f aca="false">$B$4+H15</f>
        <v>46317</v>
      </c>
      <c r="K15" s="12" t="s">
        <v>65</v>
      </c>
      <c r="L15" s="13" t="s">
        <v>66</v>
      </c>
      <c r="M15" s="12" t="s">
        <v>67</v>
      </c>
      <c r="N15" s="14" t="s">
        <v>68</v>
      </c>
    </row>
    <row r="16" customFormat="false" ht="31.5" hidden="false" customHeight="true" outlineLevel="0" collapsed="false">
      <c r="A16" s="7" t="n">
        <v>9</v>
      </c>
      <c r="B16" s="7" t="s">
        <v>69</v>
      </c>
      <c r="C16" s="17" t="s">
        <v>51</v>
      </c>
      <c r="D16" s="15" t="s">
        <v>28</v>
      </c>
      <c r="E16" s="7" t="s">
        <v>70</v>
      </c>
      <c r="F16" s="10" t="n">
        <v>3</v>
      </c>
      <c r="G16" s="7" t="n">
        <f aca="false">$H$15+1</f>
        <v>31</v>
      </c>
      <c r="H16" s="7" t="n">
        <f aca="false">G16+F16-1</f>
        <v>33</v>
      </c>
      <c r="I16" s="11" t="n">
        <f aca="false">$B$4+G16</f>
        <v>46318</v>
      </c>
      <c r="J16" s="11" t="n">
        <f aca="false">$B$4+H16</f>
        <v>46320</v>
      </c>
      <c r="K16" s="12" t="s">
        <v>71</v>
      </c>
      <c r="L16" s="13" t="s">
        <v>72</v>
      </c>
      <c r="M16" s="12" t="s">
        <v>73</v>
      </c>
      <c r="N16" s="14" t="s">
        <v>74</v>
      </c>
    </row>
    <row r="17" customFormat="false" ht="31.5" hidden="false" customHeight="true" outlineLevel="0" collapsed="false">
      <c r="A17" s="7" t="n">
        <v>10</v>
      </c>
      <c r="B17" s="7" t="s">
        <v>75</v>
      </c>
      <c r="C17" s="18" t="s">
        <v>76</v>
      </c>
      <c r="D17" s="15" t="s">
        <v>28</v>
      </c>
      <c r="E17" s="7" t="s">
        <v>77</v>
      </c>
      <c r="F17" s="10" t="n">
        <v>10</v>
      </c>
      <c r="G17" s="7" t="n">
        <f aca="false">MAX($H$12,$H$16,$H$11)+1</f>
        <v>34</v>
      </c>
      <c r="H17" s="7" t="n">
        <f aca="false">G17+F17-1</f>
        <v>43</v>
      </c>
      <c r="I17" s="11" t="n">
        <f aca="false">$B$4+G17</f>
        <v>46321</v>
      </c>
      <c r="J17" s="11" t="n">
        <f aca="false">$B$4+H17</f>
        <v>46330</v>
      </c>
      <c r="K17" s="12" t="s">
        <v>78</v>
      </c>
      <c r="L17" s="13" t="s">
        <v>79</v>
      </c>
      <c r="M17" s="12" t="s">
        <v>80</v>
      </c>
      <c r="N17" s="14" t="s">
        <v>81</v>
      </c>
    </row>
    <row r="20" customFormat="false" ht="15" hidden="false" customHeight="false" outlineLevel="0" collapsed="false">
      <c r="A20" s="3" t="s">
        <v>82</v>
      </c>
      <c r="B20" s="19" t="s">
        <v>20</v>
      </c>
      <c r="C20" s="20" t="s">
        <v>51</v>
      </c>
      <c r="D20" s="21" t="s">
        <v>44</v>
      </c>
      <c r="E20" s="22" t="s">
        <v>76</v>
      </c>
    </row>
    <row r="23" customFormat="false" ht="15" hidden="false" customHeight="false" outlineLevel="0" collapsed="false">
      <c r="A23" s="3" t="s">
        <v>83</v>
      </c>
    </row>
    <row r="24" customFormat="false" ht="15" hidden="false" customHeight="false" outlineLevel="0" collapsed="false">
      <c r="A24" s="23" t="s">
        <v>84</v>
      </c>
      <c r="B24" s="23" t="s">
        <v>85</v>
      </c>
      <c r="C24" s="23" t="s">
        <v>86</v>
      </c>
    </row>
    <row r="25" customFormat="false" ht="39.75" hidden="false" customHeight="true" outlineLevel="0" collapsed="false">
      <c r="A25" s="12" t="s">
        <v>87</v>
      </c>
      <c r="B25" s="12" t="s">
        <v>88</v>
      </c>
      <c r="C25" s="12" t="s">
        <v>89</v>
      </c>
    </row>
  </sheetData>
  <mergeCells count="2">
    <mergeCell ref="A1:N1"/>
    <mergeCell ref="A2:N2"/>
  </mergeCells>
  <dataValidations count="1">
    <dataValidation allowBlank="false" errorStyle="stop" operator="between" showDropDown="false" showErrorMessage="false" showInputMessage="false" sqref="D8:D1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7" min="4" style="0" width="3"/>
  </cols>
  <sheetData>
    <row r="1" customFormat="false" ht="17.35" hidden="false" customHeight="false" outlineLevel="0" collapsed="false">
      <c r="A1" s="1" t="s">
        <v>90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</v>
      </c>
      <c r="B4" s="3" t="s">
        <v>92</v>
      </c>
      <c r="C4" s="3" t="s">
        <v>7</v>
      </c>
      <c r="D4" s="24" t="n">
        <v>0</v>
      </c>
      <c r="E4" s="24" t="n">
        <v>1</v>
      </c>
      <c r="F4" s="24" t="n">
        <v>2</v>
      </c>
      <c r="G4" s="24" t="n">
        <v>3</v>
      </c>
      <c r="H4" s="24" t="n">
        <v>4</v>
      </c>
      <c r="I4" s="24" t="n">
        <v>5</v>
      </c>
      <c r="J4" s="24" t="n">
        <v>6</v>
      </c>
      <c r="K4" s="24" t="n">
        <v>7</v>
      </c>
      <c r="L4" s="24" t="n">
        <v>8</v>
      </c>
      <c r="M4" s="24" t="n">
        <v>9</v>
      </c>
      <c r="N4" s="24" t="n">
        <v>10</v>
      </c>
      <c r="O4" s="24" t="n">
        <v>11</v>
      </c>
      <c r="P4" s="24" t="n">
        <v>12</v>
      </c>
      <c r="Q4" s="24" t="n">
        <v>13</v>
      </c>
      <c r="R4" s="24" t="n">
        <v>14</v>
      </c>
      <c r="S4" s="24" t="n">
        <v>15</v>
      </c>
      <c r="T4" s="24" t="n">
        <v>16</v>
      </c>
      <c r="U4" s="24" t="n">
        <v>17</v>
      </c>
      <c r="V4" s="24" t="n">
        <v>18</v>
      </c>
      <c r="W4" s="24" t="n">
        <v>19</v>
      </c>
      <c r="X4" s="24" t="n">
        <v>20</v>
      </c>
      <c r="Y4" s="24" t="n">
        <v>21</v>
      </c>
      <c r="Z4" s="24" t="n">
        <v>22</v>
      </c>
      <c r="AA4" s="24" t="n">
        <v>23</v>
      </c>
      <c r="AB4" s="24" t="n">
        <v>24</v>
      </c>
      <c r="AC4" s="24" t="n">
        <v>25</v>
      </c>
      <c r="AD4" s="24" t="n">
        <v>26</v>
      </c>
      <c r="AE4" s="24" t="n">
        <v>27</v>
      </c>
      <c r="AF4" s="24" t="n">
        <v>28</v>
      </c>
      <c r="AG4" s="24" t="n">
        <v>29</v>
      </c>
      <c r="AH4" s="24" t="n">
        <v>30</v>
      </c>
      <c r="AI4" s="24" t="n">
        <v>31</v>
      </c>
      <c r="AJ4" s="24" t="n">
        <v>32</v>
      </c>
      <c r="AK4" s="24" t="n">
        <v>33</v>
      </c>
      <c r="AL4" s="24" t="n">
        <v>34</v>
      </c>
      <c r="AM4" s="24" t="n">
        <v>35</v>
      </c>
      <c r="AN4" s="24" t="n">
        <v>36</v>
      </c>
      <c r="AO4" s="24" t="n">
        <v>37</v>
      </c>
      <c r="AP4" s="24" t="n">
        <v>38</v>
      </c>
      <c r="AQ4" s="24" t="n">
        <v>39</v>
      </c>
      <c r="AR4" s="24" t="n">
        <v>40</v>
      </c>
      <c r="AS4" s="24" t="n">
        <v>41</v>
      </c>
      <c r="AT4" s="24" t="n">
        <v>42</v>
      </c>
      <c r="AU4" s="24" t="n">
        <v>43</v>
      </c>
      <c r="AW4" s="25" t="s">
        <v>93</v>
      </c>
      <c r="AX4" s="25" t="s">
        <v>94</v>
      </c>
    </row>
    <row r="5" customFormat="false" ht="33.75" hidden="false" customHeight="true" outlineLevel="0" collapsed="false">
      <c r="D5" s="26" t="n">
        <f aca="false">'Task Plan'!$B$4+0</f>
        <v>46287</v>
      </c>
      <c r="E5" s="26" t="n">
        <f aca="false">'Task Plan'!$B$4+1</f>
        <v>46288</v>
      </c>
      <c r="F5" s="26" t="n">
        <f aca="false">'Task Plan'!$B$4+2</f>
        <v>46289</v>
      </c>
      <c r="G5" s="26" t="n">
        <f aca="false">'Task Plan'!$B$4+3</f>
        <v>46290</v>
      </c>
      <c r="H5" s="26" t="n">
        <f aca="false">'Task Plan'!$B$4+4</f>
        <v>46291</v>
      </c>
      <c r="I5" s="26" t="n">
        <f aca="false">'Task Plan'!$B$4+5</f>
        <v>46292</v>
      </c>
      <c r="J5" s="26" t="n">
        <f aca="false">'Task Plan'!$B$4+6</f>
        <v>46293</v>
      </c>
      <c r="K5" s="26" t="n">
        <f aca="false">'Task Plan'!$B$4+7</f>
        <v>46294</v>
      </c>
      <c r="L5" s="26" t="n">
        <f aca="false">'Task Plan'!$B$4+8</f>
        <v>46295</v>
      </c>
      <c r="M5" s="26" t="n">
        <f aca="false">'Task Plan'!$B$4+9</f>
        <v>46296</v>
      </c>
      <c r="N5" s="26" t="n">
        <f aca="false">'Task Plan'!$B$4+10</f>
        <v>46297</v>
      </c>
      <c r="O5" s="26" t="n">
        <f aca="false">'Task Plan'!$B$4+11</f>
        <v>46298</v>
      </c>
      <c r="P5" s="26" t="n">
        <f aca="false">'Task Plan'!$B$4+12</f>
        <v>46299</v>
      </c>
      <c r="Q5" s="26" t="n">
        <f aca="false">'Task Plan'!$B$4+13</f>
        <v>46300</v>
      </c>
      <c r="R5" s="26" t="n">
        <f aca="false">'Task Plan'!$B$4+14</f>
        <v>46301</v>
      </c>
      <c r="S5" s="26" t="n">
        <f aca="false">'Task Plan'!$B$4+15</f>
        <v>46302</v>
      </c>
      <c r="T5" s="26" t="n">
        <f aca="false">'Task Plan'!$B$4+16</f>
        <v>46303</v>
      </c>
      <c r="U5" s="26" t="n">
        <f aca="false">'Task Plan'!$B$4+17</f>
        <v>46304</v>
      </c>
      <c r="V5" s="26" t="n">
        <f aca="false">'Task Plan'!$B$4+18</f>
        <v>46305</v>
      </c>
      <c r="W5" s="26" t="n">
        <f aca="false">'Task Plan'!$B$4+19</f>
        <v>46306</v>
      </c>
      <c r="X5" s="26" t="n">
        <f aca="false">'Task Plan'!$B$4+20</f>
        <v>46307</v>
      </c>
      <c r="Y5" s="26" t="n">
        <f aca="false">'Task Plan'!$B$4+21</f>
        <v>46308</v>
      </c>
      <c r="Z5" s="26" t="n">
        <f aca="false">'Task Plan'!$B$4+22</f>
        <v>46309</v>
      </c>
      <c r="AA5" s="26" t="n">
        <f aca="false">'Task Plan'!$B$4+23</f>
        <v>46310</v>
      </c>
      <c r="AB5" s="26" t="n">
        <f aca="false">'Task Plan'!$B$4+24</f>
        <v>46311</v>
      </c>
      <c r="AC5" s="26" t="n">
        <f aca="false">'Task Plan'!$B$4+25</f>
        <v>46312</v>
      </c>
      <c r="AD5" s="26" t="n">
        <f aca="false">'Task Plan'!$B$4+26</f>
        <v>46313</v>
      </c>
      <c r="AE5" s="26" t="n">
        <f aca="false">'Task Plan'!$B$4+27</f>
        <v>46314</v>
      </c>
      <c r="AF5" s="26" t="n">
        <f aca="false">'Task Plan'!$B$4+28</f>
        <v>46315</v>
      </c>
      <c r="AG5" s="26" t="n">
        <f aca="false">'Task Plan'!$B$4+29</f>
        <v>46316</v>
      </c>
      <c r="AH5" s="26" t="n">
        <f aca="false">'Task Plan'!$B$4+30</f>
        <v>46317</v>
      </c>
      <c r="AI5" s="26" t="n">
        <f aca="false">'Task Plan'!$B$4+31</f>
        <v>46318</v>
      </c>
      <c r="AJ5" s="26" t="n">
        <f aca="false">'Task Plan'!$B$4+32</f>
        <v>46319</v>
      </c>
      <c r="AK5" s="26" t="n">
        <f aca="false">'Task Plan'!$B$4+33</f>
        <v>46320</v>
      </c>
      <c r="AL5" s="26" t="n">
        <f aca="false">'Task Plan'!$B$4+34</f>
        <v>46321</v>
      </c>
      <c r="AM5" s="26" t="n">
        <f aca="false">'Task Plan'!$B$4+35</f>
        <v>46322</v>
      </c>
      <c r="AN5" s="26" t="n">
        <f aca="false">'Task Plan'!$B$4+36</f>
        <v>46323</v>
      </c>
      <c r="AO5" s="26" t="n">
        <f aca="false">'Task Plan'!$B$4+37</f>
        <v>46324</v>
      </c>
      <c r="AP5" s="26" t="n">
        <f aca="false">'Task Plan'!$B$4+38</f>
        <v>46325</v>
      </c>
      <c r="AQ5" s="26" t="n">
        <f aca="false">'Task Plan'!$B$4+39</f>
        <v>46326</v>
      </c>
      <c r="AR5" s="26" t="n">
        <f aca="false">'Task Plan'!$B$4+40</f>
        <v>46327</v>
      </c>
      <c r="AS5" s="26" t="n">
        <f aca="false">'Task Plan'!$B$4+41</f>
        <v>46328</v>
      </c>
      <c r="AT5" s="26" t="n">
        <f aca="false">'Task Plan'!$B$4+42</f>
        <v>46329</v>
      </c>
      <c r="AU5" s="26" t="n">
        <f aca="false">'Task Plan'!$B$4+43</f>
        <v>46330</v>
      </c>
    </row>
    <row r="7" customFormat="false" ht="15" hidden="false" customHeight="false" outlineLevel="0" collapsed="false">
      <c r="A7" s="7" t="n">
        <f aca="false">'Task Plan'!A8</f>
        <v>1</v>
      </c>
      <c r="B7" s="27" t="str">
        <f aca="false">'Task Plan'!B8&amp;" ["&amp;'Task Plan'!D8&amp;"]"</f>
        <v>Design &amp; migrate schema [In progress]</v>
      </c>
      <c r="C7" s="28" t="str">
        <f aca="false">'Task Plan'!C8</f>
        <v>Foundation</v>
      </c>
      <c r="AW7" s="29" t="n">
        <f aca="false">'Task Plan'!G8</f>
        <v>0</v>
      </c>
      <c r="AX7" s="29" t="n">
        <f aca="false">'Task Plan'!H8</f>
        <v>6</v>
      </c>
    </row>
    <row r="8" customFormat="false" ht="15" hidden="false" customHeight="false" outlineLevel="0" collapsed="false">
      <c r="A8" s="7" t="n">
        <f aca="false">'Task Plan'!A9</f>
        <v>2</v>
      </c>
      <c r="B8" s="27" t="str">
        <f aca="false">'Task Plan'!B9&amp;" ["&amp;'Task Plan'!D9&amp;"]"</f>
        <v>Verify Legistar API access (nnph-dboh) [Not started]</v>
      </c>
      <c r="C8" s="28" t="str">
        <f aca="false">'Task Plan'!C9</f>
        <v>Foundation</v>
      </c>
      <c r="AW8" s="29" t="n">
        <f aca="false">'Task Plan'!G9</f>
        <v>0</v>
      </c>
      <c r="AX8" s="29" t="n">
        <f aca="false">'Task Plan'!H9</f>
        <v>2</v>
      </c>
    </row>
    <row r="9" customFormat="false" ht="15" hidden="false" customHeight="false" outlineLevel="0" collapsed="false">
      <c r="A9" s="7" t="n">
        <f aca="false">'Task Plan'!A10</f>
        <v>3</v>
      </c>
      <c r="B9" s="27" t="str">
        <f aca="false">'Task Plan'!B10&amp;" ["&amp;'Task Plan'!D10&amp;"]"</f>
        <v>Harden NELIS scraper selectors [Not started]</v>
      </c>
      <c r="C9" s="28" t="str">
        <f aca="false">'Task Plan'!C10</f>
        <v>Foundation</v>
      </c>
      <c r="AW9" s="29" t="n">
        <f aca="false">'Task Plan'!G10</f>
        <v>0</v>
      </c>
      <c r="AX9" s="29" t="n">
        <f aca="false">'Task Plan'!H10</f>
        <v>3</v>
      </c>
    </row>
    <row r="10" customFormat="false" ht="15" hidden="false" customHeight="false" outlineLevel="0" collapsed="false">
      <c r="A10" s="7" t="n">
        <f aca="false">'Task Plan'!A11</f>
        <v>4</v>
      </c>
      <c r="B10" s="27" t="str">
        <f aca="false">'Task Plan'!B11&amp;" ["&amp;'Task Plan'!D11&amp;"]"</f>
        <v>Provision hosting [Not started]</v>
      </c>
      <c r="C10" s="28" t="str">
        <f aca="false">'Task Plan'!C11</f>
        <v>Foundation</v>
      </c>
      <c r="AW10" s="29" t="n">
        <f aca="false">'Task Plan'!G11</f>
        <v>3</v>
      </c>
      <c r="AX10" s="29" t="n">
        <f aca="false">'Task Plan'!H11</f>
        <v>6</v>
      </c>
    </row>
    <row r="11" customFormat="false" ht="15" hidden="false" customHeight="false" outlineLevel="0" collapsed="false">
      <c r="A11" s="7" t="n">
        <f aca="false">'Task Plan'!A12</f>
        <v>5</v>
      </c>
      <c r="B11" s="27" t="str">
        <f aca="false">'Task Plan'!B12&amp;" ["&amp;'Task Plan'!D12&amp;"]"</f>
        <v>Backend API [Not started]</v>
      </c>
      <c r="C11" s="28" t="str">
        <f aca="false">'Task Plan'!C12</f>
        <v>Backend/Frontend</v>
      </c>
      <c r="AW11" s="29" t="n">
        <f aca="false">'Task Plan'!G12</f>
        <v>7</v>
      </c>
      <c r="AX11" s="29" t="n">
        <f aca="false">'Task Plan'!H12</f>
        <v>16</v>
      </c>
    </row>
    <row r="12" customFormat="false" ht="15" hidden="false" customHeight="false" outlineLevel="0" collapsed="false">
      <c r="A12" s="7" t="n">
        <f aca="false">'Task Plan'!A13</f>
        <v>6</v>
      </c>
      <c r="B12" s="27" t="str">
        <f aca="false">'Task Plan'!B13&amp;" ["&amp;'Task Plan'!D13&amp;"]"</f>
        <v>Document capture pipeline [Not started]</v>
      </c>
      <c r="C12" s="28" t="str">
        <f aca="false">'Task Plan'!C13</f>
        <v>Data pipeline</v>
      </c>
      <c r="AW12" s="29" t="n">
        <f aca="false">'Task Plan'!G13</f>
        <v>7</v>
      </c>
      <c r="AX12" s="29" t="n">
        <f aca="false">'Task Plan'!H13</f>
        <v>16</v>
      </c>
    </row>
    <row r="13" customFormat="false" ht="15" hidden="false" customHeight="false" outlineLevel="0" collapsed="false">
      <c r="A13" s="7" t="n">
        <f aca="false">'Task Plan'!A14</f>
        <v>7</v>
      </c>
      <c r="B13" s="27" t="str">
        <f aca="false">'Task Plan'!B14&amp;" ["&amp;'Task Plan'!D14&amp;"]"</f>
        <v>Extraction pipeline (OCR + LLM) [Not started]</v>
      </c>
      <c r="C13" s="28" t="str">
        <f aca="false">'Task Plan'!C14</f>
        <v>Data pipeline</v>
      </c>
      <c r="AW13" s="29" t="n">
        <f aca="false">'Task Plan'!G14</f>
        <v>17</v>
      </c>
      <c r="AX13" s="29" t="n">
        <f aca="false">'Task Plan'!H14</f>
        <v>23</v>
      </c>
    </row>
    <row r="14" customFormat="false" ht="15" hidden="false" customHeight="false" outlineLevel="0" collapsed="false">
      <c r="A14" s="7" t="n">
        <f aca="false">'Task Plan'!A15</f>
        <v>8</v>
      </c>
      <c r="B14" s="27" t="str">
        <f aca="false">'Task Plan'!B15&amp;" ["&amp;'Task Plan'!D15&amp;"]"</f>
        <v>Subject tagging (LLM) [Not started]</v>
      </c>
      <c r="C14" s="28" t="str">
        <f aca="false">'Task Plan'!C15</f>
        <v>Data pipeline</v>
      </c>
      <c r="AW14" s="29" t="n">
        <f aca="false">'Task Plan'!G15</f>
        <v>24</v>
      </c>
      <c r="AX14" s="29" t="n">
        <f aca="false">'Task Plan'!H15</f>
        <v>30</v>
      </c>
    </row>
    <row r="15" customFormat="false" ht="15" hidden="false" customHeight="false" outlineLevel="0" collapsed="false">
      <c r="A15" s="7" t="n">
        <f aca="false">'Task Plan'!A16</f>
        <v>9</v>
      </c>
      <c r="B15" s="27" t="str">
        <f aca="false">'Task Plan'!B16&amp;" ["&amp;'Task Plan'!D16&amp;"]"</f>
        <v>Briefing generation upgrade [Not started]</v>
      </c>
      <c r="C15" s="28" t="str">
        <f aca="false">'Task Plan'!C16</f>
        <v>Data pipeline</v>
      </c>
      <c r="AW15" s="29" t="n">
        <f aca="false">'Task Plan'!G16</f>
        <v>31</v>
      </c>
      <c r="AX15" s="29" t="n">
        <f aca="false">'Task Plan'!H16</f>
        <v>33</v>
      </c>
    </row>
    <row r="16" customFormat="false" ht="15" hidden="false" customHeight="false" outlineLevel="0" collapsed="false">
      <c r="A16" s="7" t="n">
        <f aca="false">'Task Plan'!A17</f>
        <v>10</v>
      </c>
      <c r="B16" s="27" t="str">
        <f aca="false">'Task Plan'!B17&amp;" ["&amp;'Task Plan'!D17&amp;"]"</f>
        <v>Frontend cutover to live API [Not started]</v>
      </c>
      <c r="C16" s="28" t="str">
        <f aca="false">'Task Plan'!C17</f>
        <v>Launch</v>
      </c>
      <c r="AW16" s="29" t="n">
        <f aca="false">'Task Plan'!G17</f>
        <v>34</v>
      </c>
      <c r="AX16" s="29" t="n">
        <f aca="false">'Task Plan'!H17</f>
        <v>43</v>
      </c>
    </row>
    <row r="19" customFormat="false" ht="15" hidden="false" customHeight="false" outlineLevel="0" collapsed="false">
      <c r="A19" s="3" t="s">
        <v>82</v>
      </c>
      <c r="B19" s="19" t="s">
        <v>20</v>
      </c>
      <c r="C19" s="20" t="s">
        <v>51</v>
      </c>
      <c r="D19" s="21" t="s">
        <v>44</v>
      </c>
      <c r="E19" s="22" t="s">
        <v>76</v>
      </c>
    </row>
  </sheetData>
  <mergeCells count="2">
    <mergeCell ref="A1:H1"/>
    <mergeCell ref="A2:H2"/>
  </mergeCells>
  <conditionalFormatting sqref="D7:AU16">
    <cfRule type="expression" priority="2" aboveAverage="0" equalAverage="0" bottom="0" percent="0" rank="0" text="" dxfId="0">
      <formula>AND(D$4&gt;=$AW7,D$4&lt;=$AX7,$C7="Foundation")</formula>
    </cfRule>
    <cfRule type="expression" priority="3" aboveAverage="0" equalAverage="0" bottom="0" percent="0" rank="0" text="" dxfId="1">
      <formula>AND(D$4&gt;=$AW7,D$4&lt;=$AX7,$C7="Data pipeline")</formula>
    </cfRule>
    <cfRule type="expression" priority="4" aboveAverage="0" equalAverage="0" bottom="0" percent="0" rank="0" text="" dxfId="2">
      <formula>AND(D$4&gt;=$AW7,D$4&lt;=$AX7,$C7="Backend/Frontend")</formula>
    </cfRule>
    <cfRule type="expression" priority="5" aboveAverage="0" equalAverage="0" bottom="0" percent="0" rank="0" text="" dxfId="3">
      <formula>AND(D$4&gt;=$AW7,D$4&lt;=$AX7,$C7="Launch")</formula>
    </cfRule>
  </conditionalFormatting>
  <conditionalFormatting sqref="D5:AU5">
    <cfRule type="expression" priority="6" aboveAverage="0" equalAverage="0" bottom="0" percent="0" rank="0" text="" dxfId="4">
      <formula>D5=TODAY()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2026-09-19T19:45:01Z</dcterms:created>
  <dc:creator>openpyxl</dc:creator>
  <dc:description/>
  <dc:language>en-US</dc:language>
  <cp:lastModifiedBy/>
  <dcterms:modified xsi:type="dcterms:W3CDTF">2026-09-19T19:45:01Z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