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<sst xmlns="http://schemas.openxmlformats.org/spreadsheetml/2006/main" count="144" uniqueCount="110">
  <si>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</si>
  <si>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</si>
  <si>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</si>
  <si>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</si>
  <si>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</si>
  <si>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</si>
  <si>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</si>
  <si>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</si>
  <si>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</si>
  <si>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</si>
  <si>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</si>
  <si>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</si>
  <si>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</si>
  <si>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</si>
  <si>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</si>
  <si>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</si>
  <si>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</si>
  <si>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</si>
  <si>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</si>
  <si>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</si>
  <si>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</si>
  <si>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</si>
  <si>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</si>
  <si>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</si>
  <si>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</si>
  <si>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</si>
  <si>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</si>
  <si>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</si>
  <si>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</si>
  <si>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</si>
  <si>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</si>
  <si>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</si>
  <si>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</si>
  <si>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</si>
  <si>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</si>
  <si>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</si>
  <si>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</si>
  <si>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</si>
  <si>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In progress</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</si>
  <si>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</si>
  <si>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</si>
  <si>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</si>
  <si>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</si>
  <si>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</si>
  <si>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</si>
  <si>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</si>
  <si>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</si>
  <si>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</si>
  <si>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</si>
  <si>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</si>
  <si>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</si>
  <si>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</si>
  <si>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Not started</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</si>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</sst>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38</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21</v>
      </c>
      <c r="E12" s="8" t="s">
        <v>45</v>
      </c>
      <c r="F12" s="11" t="n">
        <v>10</v>
      </c>
      <c r="G12" s="8" t="n">
        <f aca="false">$H$8+1</f>
        <v>7</v>
      </c>
      <c r="H12" s="8" t="n">
        <f aca="false">G12+F12-1</f>
        <v>16</v>
      </c>
      <c r="I12" s="12" t="n">
        <f aca="false">$B$4+G12</f>
        <v>46294</v>
      </c>
      <c r="J12" s="12" t="n">
        <f aca="false">$B$4+H12</f>
        <v>46303</v>
      </c>
      <c r="K12" s="13" t="s">
        <v>46</v>
      </c>
      <c r="L12" s="14" t="s">
        <v>47</v>
      </c>
      <c r="M12" s="13" t="s">
        <v>48</v>
      </c>
      <c r="N12" s="15" t="s">
        <v>49</v>
      </c>
    </row>
    <row r="13" customFormat="false" ht="31.5" hidden="false" customHeight="true" outlineLevel="0" collapsed="false">
      <c r="A13" s="8" t="n">
        <v>6</v>
      </c>
      <c r="B13" s="8" t="s">
        <v>50</v>
      </c>
      <c r="C13" s="18" t="s">
        <v>51</v>
      </c>
      <c r="D13" s="16" t="s">
        <v>52</v>
      </c>
      <c r="E13" s="8" t="s">
        <v>53</v>
      </c>
      <c r="F13" s="11" t="n">
        <v>10</v>
      </c>
      <c r="G13" s="8" t="n">
        <f aca="false">MAX($H$8,$H$9,$H$10)+1</f>
        <v>7</v>
      </c>
      <c r="H13" s="8" t="n">
        <f aca="false">G13+F13-1</f>
        <v>16</v>
      </c>
      <c r="I13" s="12" t="n">
        <f aca="false">$B$4+G13</f>
        <v>46294</v>
      </c>
      <c r="J13" s="12" t="n">
        <f aca="false">$B$4+H13</f>
        <v>46303</v>
      </c>
      <c r="K13" s="13" t="s">
        <v>54</v>
      </c>
      <c r="L13" s="14" t="s">
        <v>55</v>
      </c>
      <c r="M13" s="13" t="s">
        <v>56</v>
      </c>
      <c r="N13" s="15" t="s">
        <v>57</v>
      </c>
    </row>
    <row r="14" customFormat="false" ht="31.5" hidden="false" customHeight="true" outlineLevel="0" collapsed="false">
      <c r="A14" s="8" t="n">
        <v>7</v>
      </c>
      <c r="B14" s="8" t="s">
        <v>58</v>
      </c>
      <c r="C14" s="18" t="s">
        <v>51</v>
      </c>
      <c r="D14" s="16" t="s">
        <v>52</v>
      </c>
      <c r="E14" s="8" t="s">
        <v>59</v>
      </c>
      <c r="F14" s="11" t="n">
        <v>7</v>
      </c>
      <c r="G14" s="8" t="n">
        <f aca="false">$H$13+1</f>
        <v>17</v>
      </c>
      <c r="H14" s="8" t="n">
        <f aca="false">G14+F14-1</f>
        <v>23</v>
      </c>
      <c r="I14" s="12" t="n">
        <f aca="false">$B$4+G14</f>
        <v>46304</v>
      </c>
      <c r="J14" s="12" t="n">
        <f aca="false">$B$4+H14</f>
        <v>46310</v>
      </c>
      <c r="K14" s="13" t="s">
        <v>60</v>
      </c>
      <c r="L14" s="14" t="s">
        <v>61</v>
      </c>
      <c r="M14" s="13" t="s">
        <v>62</v>
      </c>
      <c r="N14" s="15" t="s">
        <v>63</v>
      </c>
    </row>
    <row r="15" customFormat="false" ht="31.5" hidden="false" customHeight="true" outlineLevel="0" collapsed="false">
      <c r="A15" s="8" t="n">
        <v>8</v>
      </c>
      <c r="B15" s="8" t="s">
        <v>64</v>
      </c>
      <c r="C15" s="18" t="s">
        <v>51</v>
      </c>
      <c r="D15" s="16" t="s">
        <v>52</v>
      </c>
      <c r="E15" s="8" t="s">
        <v>65</v>
      </c>
      <c r="F15" s="11" t="n">
        <v>7</v>
      </c>
      <c r="G15" s="8" t="n">
        <f aca="false">$H$14+1</f>
        <v>24</v>
      </c>
      <c r="H15" s="8" t="n">
        <f aca="false">G15+F15-1</f>
        <v>30</v>
      </c>
      <c r="I15" s="12" t="n">
        <f aca="false">$B$4+G15</f>
        <v>46311</v>
      </c>
      <c r="J15" s="12" t="n">
        <f aca="false">$B$4+H15</f>
        <v>46317</v>
      </c>
      <c r="K15" s="13" t="s">
        <v>66</v>
      </c>
      <c r="L15" s="14" t="s">
        <v>67</v>
      </c>
      <c r="M15" s="13" t="s">
        <v>68</v>
      </c>
      <c r="N15" s="15" t="s">
        <v>69</v>
      </c>
    </row>
    <row r="16" customFormat="false" ht="31.5" hidden="false" customHeight="true" outlineLevel="0" collapsed="false">
      <c r="A16" s="8" t="n">
        <v>9</v>
      </c>
      <c r="B16" s="8" t="s">
        <v>70</v>
      </c>
      <c r="C16" s="18" t="s">
        <v>51</v>
      </c>
      <c r="D16" s="16" t="s">
        <v>52</v>
      </c>
      <c r="E16" s="8" t="s">
        <v>71</v>
      </c>
      <c r="F16" s="11" t="n">
        <v>3</v>
      </c>
      <c r="G16" s="8" t="n">
        <f aca="false">$H$15+1</f>
        <v>31</v>
      </c>
      <c r="H16" s="8" t="n">
        <f aca="false">G16+F16-1</f>
        <v>33</v>
      </c>
      <c r="I16" s="12" t="n">
        <f aca="false">$B$4+G16</f>
        <v>46318</v>
      </c>
      <c r="J16" s="12" t="n">
        <f aca="false">$B$4+H16</f>
        <v>46320</v>
      </c>
      <c r="K16" s="13" t="s">
        <v>72</v>
      </c>
      <c r="L16" s="14" t="s">
        <v>73</v>
      </c>
      <c r="M16" s="13" t="s">
        <v>74</v>
      </c>
      <c r="N16" s="15" t="s">
        <v>75</v>
      </c>
    </row>
    <row r="17" customFormat="false" ht="31.5" hidden="false" customHeight="true" outlineLevel="0" collapsed="false">
      <c r="A17" s="8" t="n">
        <v>10</v>
      </c>
      <c r="B17" s="8" t="s">
        <v>76</v>
      </c>
      <c r="C17" s="19" t="s">
        <v>77</v>
      </c>
      <c r="D17" s="16" t="s">
        <v>52</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51</v>
      </c>
      <c r="D20" s="22" t="s">
        <v>44</v>
      </c>
      <c r="E20" s="23" t="s">
        <v>77</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true" outlineLevel="0" collapsed="false">
      <c r="A31" s="1" t="s">
        <v>88</v>
      </c>
      <c r="B31" s="1" t="s">
        <v>101</v>
      </c>
      <c r="C31" s="1" t="s">
        <v>102</v>
      </c>
    </row>
    <row r="32" customFormat="false" ht="15" hidden="false" customHeight="false" outlineLevel="0" collapsed="false">
      <c r="A32" s="1" t="s">
        <v>88</v>
      </c>
      <c r="B32" s="1" t="s">
        <v>103</v>
      </c>
      <c r="C32" s="1" t="s">
        <v>104</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105</v>
      </c>
      <c r="B1" s="2"/>
      <c r="C1" s="2"/>
      <c r="D1" s="2"/>
      <c r="E1" s="2"/>
      <c r="F1" s="2"/>
      <c r="G1" s="2"/>
      <c r="H1" s="2"/>
    </row>
    <row r="2" customFormat="false" ht="15" hidden="false" customHeight="true" outlineLevel="0" collapsed="false">
      <c r="A2" s="3" t="s">
        <v>106</v>
      </c>
      <c r="B2" s="3"/>
      <c r="C2" s="3"/>
      <c r="D2" s="3"/>
      <c r="E2" s="3"/>
      <c r="F2" s="3"/>
      <c r="G2" s="3"/>
      <c r="H2" s="3"/>
    </row>
    <row r="4" customFormat="false" ht="15" hidden="false" customHeight="true" outlineLevel="0" collapsed="false">
      <c r="A4" s="4" t="s">
        <v>5</v>
      </c>
      <c r="B4" s="4" t="s">
        <v>107</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108</v>
      </c>
      <c r="AX4" s="26" t="s">
        <v>109</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[In progress]</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51</v>
      </c>
      <c r="D19" s="22" t="s">
        <v>44</v>
      </c>
      <c r="E19" s="23" t="s">
        <v>77</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2026-09-20T01:17:53Z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