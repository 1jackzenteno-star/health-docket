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sk Plan" sheetId="1" state="visible" r:id="rId3"/>
    <sheet name="Gant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<sst xmlns="http://schemas.openxmlformats.org/spreadsheetml/2006/main" count="135" uniqueCount="103">
  <si>
    <t xml:space="preserve">Health Docket — Repo Restructuring Gantt</t>
  </si>
  <si>
    <t xml:space="preserve">Edit yellow cells only: Status, and Duration/Manual Start where shown. Everything else recalculates. Task list/phases/dependencies from policy-docket-design-spec.docx §8 (spec of record); durations are Claude's estimates, not from the spec.</t>
  </si>
  <si>
    <t xml:space="preserve">Project Start Date</t>
  </si>
  <si>
    <t xml:space="preserve">2026-09-22</t>
  </si>
  <si>
    <t xml:space="preserve">As of / today</t>
  </si>
  <si>
    <t xml:space="preserve">ID</t>
  </si>
  <si>
    <t xml:space="preserve">Task</t>
  </si>
  <si>
    <t xml:space="preserve">Phase</t>
  </si>
  <si>
    <t xml:space="preserve">Status</t>
  </si>
  <si>
    <t xml:space="preserve">Predecessor(s)</t>
  </si>
  <si>
    <t xml:space="preserve">Duration (days, Claude's estimate)</t>
  </si>
  <si>
    <t xml:space="preserve">Start Offset</t>
  </si>
  <si>
    <t xml:space="preserve">End Offset</t>
  </si>
  <si>
    <t xml:space="preserve">Start Date</t>
  </si>
  <si>
    <t xml:space="preserve">End Date</t>
  </si>
  <si>
    <t xml:space="preserve">Files this task creates/changes</t>
  </si>
  <si>
    <t xml:space="preserve">Notes</t>
  </si>
  <si>
    <t xml:space="preserve">Design reference (policy-docket-design-spec.docx)</t>
  </si>
  <si>
    <t xml:space="preserve">Verify done (run this yourself)</t>
  </si>
  <si>
    <t xml:space="preserve">Design &amp; migrate schema</t>
  </si>
  <si>
    <t xml:space="preserve">Foundation</t>
  </si>
  <si>
    <t xml:space="preserve">Done</t>
  </si>
  <si>
    <t xml:space="preserve">—</t>
  </si>
  <si>
    <t xml:space="preserve">db/schema.sql; db/migrate.py; db/health_docket.db (generated by migrate.py, gitignored — never committed)</t>
  </si>
  <si>
    <t xml:space="preserve">Started with schema.sql/migrate.py already scaffolded (2026-09-19, prior unlogged session). Migration run 2026-09-19: tiers=3, policy_areas=32, bodies=6, meetings=25 (0 skipped, matches meetings.json exactly), meeting_documents=26, briefings=3 (0 skipped, matches briefing.json exactly). PRAGMA foreign_key_check clean, no orphaned body_id/meeting_id. legislative_subjects/meeting_subjects/focus_areas left empty as designed (no real data yet). Done.</t>
  </si>
  <si>
    <t xml:space="preserve">Spec §4 Data Model — column-level detail for bodies/meetings/meeting_documents/meeting_subjects, plus the full 11-table schema in §4 of the earlier system-design.docx.</t>
  </si>
  <si>
    <t xml:space="preserve">Run the migration script; row counts in the new tables must match meetings.json/briefing.json exactly, and every meeting_id/body_id foreign key must resolve — no orphans.</t>
  </si>
  <si>
    <t xml:space="preserve">Verify Legistar API access (nnph-dboh)</t>
  </si>
  <si>
    <t xml:space="preserve">scrapers/legistar.py</t>
  </si>
  <si>
    <t xml:space="preserve">Fixed the body_name bug: config/sources.yaml now says 'Northern Nevada Public Health' (was 'District Board of Health'). Verify done, checked 2026-09-19: called webapi.legistar.com/v1/washoe/events directly — it returned a server error (500), not JSON, so the JSON API is confirmed not usable for this client (matches legistar.py's own note that it wasn't reachable when written). Fetched the live calendar page instead (washoe-nv.legistar.com/Calendar.aspx) and confirmed a real meeting is listed under 'Northern Nevada Public Health' (9/24/2026) — the corrected name is right. Caveat: could not actually execute scrapers/legistar.py itself from either sandbox (this cloud workspace or Jack's Mac) — both block outbound calls to legistar.com by network policy. Jack can close this last gap himself by running `python3 -c "import yaml; from scrapers.legistar import scrape; print(scrape([s for s in yaml.safe_load(open('config/sources.yaml'))['sources'] if s['id']=='nnph-dboh'][0]))"` from his own real terminal (not through Claude) — should print real meetings, not an empty list. Re-ran db/migrate.py afterward so the database's copy of this config is in sync.</t>
  </si>
  <si>
    <t xml:space="preserve">Spec §10 Risks &amp; Open Questions — "Legistar API access unconfirmed" row; scrapers/legistar.py already has the webapi.legistar.com attempt + HTML fallback.</t>
  </si>
  <si>
    <t xml:space="preserve">Call webapi.legistar.com/v1/washoe/events directly; confirm it returns real event JSON, not an error. If it fails, run the HTML-fallback path in legistar.py and confirm it returns real meetings for 'Northern Nevada Public Health' (not zero, per the body_name bug above).</t>
  </si>
  <si>
    <t xml:space="preserve">Harden NELIS scraper selectors</t>
  </si>
  <si>
    <t xml:space="preserve">scrapers/nelis.py</t>
  </si>
  <si>
    <t xml:space="preserve">Verified by Jack himself, 2026-09-19, from his own terminal (the one command neither of Claude's sandboxes could run): `scrapers/nelis.py` against the real live site returned 7 real meetings for the Joint Interim Standing Committee on Health &amp; Human Services, dated 2026-01-06 through 2026-08-11, each with a real link to its agenda page (e.g. .../Meeting/34838). Not an empty list — the selectors work as originally written; no code changes were needed. Rows come back with verified=False (by the scraper's own deliberate design, since HTML-table parsing is treated as needing a human glance), which is expected behavior, not a defect.</t>
  </si>
  <si>
    <t xml:space="preserve">Spec §10 Risks &amp; Open Questions — "NELIS selectors unverified... Open — Task 3 in the build plan."</t>
  </si>
  <si>
    <t xml:space="preserve">Run scrapers/nelis.py against the live leg.state.nv.us site; confirm it returns real meeting rows for the Joint Interim Standing Committee on Health &amp; Human Services, not an empty list.</t>
  </si>
  <si>
    <t xml:space="preserve">Provision hosting</t>
  </si>
  <si>
    <t xml:space="preserve">Not started</t>
  </si>
  <si>
    <t xml:space="preserve">deploy/render.yaml (or fly.toml); deploy/.env.example</t>
  </si>
  <si>
    <t xml:space="preserve">The one task where Jack creates the account/billing — not something Claude can do.</t>
  </si>
  <si>
    <t xml:space="preserve">Spec §9.3 Rough cost estimate — hosting ~$5-10/mo (Render, Railway, Fly.io, or a cheap VPS).</t>
  </si>
  <si>
    <t xml:space="preserve">Hit the hosted app's URL from a browser with no VPN, on a different network than Jack's Mac; confirm it actually responds, not just reachable on localhost.</t>
  </si>
  <si>
    <t xml:space="preserve">Backend API</t>
  </si>
  <si>
    <t xml:space="preserve">Backend/Frontend</t>
  </si>
  <si>
    <t xml:space="preserve">T1</t>
  </si>
  <si>
    <t xml:space="preserve">api/main.py; api/db.py; api/routes/policy_areas.py; api/routes/health.py; api/routes/subjects.py; api/routes/focus_areas.py</t>
  </si>
  <si>
    <t xml:space="preserve">Needs the schema from Task 1. Seven endpoints per spec §6.</t>
  </si>
  <si>
    <t xml:space="preserve">Spec §6 API Specification — 7 endpoints: GET /api/policy-areas, GET /api/policy-areas/{slug}/snapshot, /attention, /bodies, GET /api/subjects/{slug}, GET+POST /api/focus-areas. Every read endpoint returns {data, generated_at}; AI-derived fields nest under model_version (spec §6, NFR3).</t>
  </si>
  <si>
    <t xml:space="preserve">curl each of the 7 endpoints in spec §6 against the running API; confirm each returns the documented JSON envelope {data, generated_at} and the correct error code (404/400) for bad input.</t>
  </si>
  <si>
    <t xml:space="preserve">Document capture pipeline</t>
  </si>
  <si>
    <t xml:space="preserve">Data pipeline</t>
  </si>
  <si>
    <t xml:space="preserve">T1, T2, T3</t>
  </si>
  <si>
    <t xml:space="preserve">pipeline/capture_documents.py</t>
  </si>
  <si>
    <t xml:space="preserve">Per spec §8, this depends on the schema AND both scraper-verification tasks — not just the schema — since it needs confirmed-working scrapers to know which documents are even reachable.</t>
  </si>
  <si>
    <t xml:space="preserve">Spec §9.2 pipeline stage table, row 'Capture documents': input = meeting_documents rows with a source_file_url, output = files downloaded + capture_status updated, failure = a 404/auth wall sets capture_status back to not_linked with a logged reason.</t>
  </si>
  <si>
    <t xml:space="preserve">Query meeting_documents after a run; confirm capture_status has moved past 'not_linked' for at least one meeting with a known real agenda/minutes URL, and that the file actually downloaded.</t>
  </si>
  <si>
    <t xml:space="preserve">Extraction pipeline (OCR + LLM)</t>
  </si>
  <si>
    <t xml:space="preserve">T6</t>
  </si>
  <si>
    <t xml:space="preserve">pipeline/extract_text.py</t>
  </si>
  <si>
    <t xml:space="preserve">Needs captured documents from Task 6.</t>
  </si>
  <si>
    <t xml:space="preserve">Spec §9.2 pipeline stage table, row 'Extract': input = captured files, output = extracted_text + extraction_status, failure = OCR/LLM failure sets extraction_status='failed', keeps prior state.</t>
  </si>
  <si>
    <t xml:space="preserve">Query a captured meeting's extracted_text column; confirm it holds real text pulled from the actual file, not null/empty, and extraction_status = success.</t>
  </si>
  <si>
    <t xml:space="preserve">Subject tagging (LLM)</t>
  </si>
  <si>
    <t xml:space="preserve">T7</t>
  </si>
  <si>
    <t xml:space="preserve">pipeline/tag_subjects.py</t>
  </si>
  <si>
    <t xml:space="preserve">Needs extracted text from Task 7.</t>
  </si>
  <si>
    <t xml:space="preserve">Spec §4.1 meeting_subjects table (meeting_id, subject_id, confidence, tagged_by) + §9.2 pipeline stage 'Tag subjects': below-threshold confidence is stored and surfaced, never discarded.</t>
  </si>
  <si>
    <t xml:space="preserve">Query meeting_subjects for a known meeting (e.g. the House E&amp;C Medicaid hearing already in the repo); confirm a real subject_id and confidence score, tagged_by='ai' — not the old body-level admin tag standing in for it.</t>
  </si>
  <si>
    <t xml:space="preserve">Briefing generation upgrade</t>
  </si>
  <si>
    <t xml:space="preserve">T8</t>
  </si>
  <si>
    <t xml:space="preserve">pipeline/generate_briefings.py</t>
  </si>
  <si>
    <t xml:space="preserve">Needs real subject tags from Task 8.</t>
  </si>
  <si>
    <t xml:space="preserve">Spec §9.2 pipeline stage table, row 'Generate briefings': input = extracted_text + meeting_subjects, output = briefings rows with model_version.</t>
  </si>
  <si>
    <t xml:space="preserve">Check briefings for that same meeting; confirm the note text reflects the actual extracted agenda/minutes content, not just the meeting title the way the current generator does.</t>
  </si>
  <si>
    <t xml:space="preserve">Frontend cutover to live API</t>
  </si>
  <si>
    <t xml:space="preserve">Launch</t>
  </si>
  <si>
    <t xml:space="preserve">T5, T9, T4</t>
  </si>
  <si>
    <t xml:space="preserve">templates/overview.html.j2; templates/health.html.j2; templates/subject.html.j2; static/docket.css; static/docket.js; .github/workflows/weekly-refresh.yml; README.md; retires data/*.json and scripts/render_site.py</t>
  </si>
  <si>
    <t xml:space="preserve">Per spec §8, this is the single final task — ports the prototype's screens to the live API AND cuts over hosting/CI in one step, rather than two separate tasks.</t>
  </si>
  <si>
    <t xml:space="preserve">Spec §7 Frontend Implementation Approach + §6 (swap each screen's hardcoded JS array for a fetch() call to its matching endpoint).</t>
  </si>
  <si>
    <t xml:space="preserve">Open the live hosted site; confirm the Medicaid subject page pulls from the real API (Network tab shows a fetch to /api/subjects/medicaid, not a hardcoded array) and the Overview grid's counts match a direct query against the database.</t>
  </si>
  <si>
    <t xml:space="preserve">Phase legend:</t>
  </si>
  <si>
    <t xml:space="preserve">Session log — append one row per session, don't overwrite prior rows</t>
  </si>
  <si>
    <t xml:space="preserve">Date</t>
  </si>
  <si>
    <t xml:space="preserve">What changed</t>
  </si>
  <si>
    <t xml:space="preserve">Task status changes</t>
  </si>
  <si>
    <t xml:space="preserve">2026-09-19</t>
  </si>
  <si>
    <t xml:space="preserve">Rebuilt this Task Plan's 10 rows to match policy-docket-design-spec.docx §8 Build Plan (previously based on the outdated “Docket Build Map” artifact, which used a different task split and dependency set). Added the Design reference and Verify done columns.</t>
  </si>
  <si>
    <t xml:space="preserve">No task status changed by this rebuild. Task 1 remains In progress (unchanged from prior session).</t>
  </si>
  <si>
    <t xml:space="preserve">Ran db/migrate.py for the first time and verified Task 1's Verify-done check (row counts against meetings.json/briefing.json + PRAGMA foreign_key_check, zero orphans). Also committed a .gitignore fix (db/health_docket.db ignored) that had been sitting uncommitted in the working tree since an earlier session.</t>
  </si>
  <si>
    <t xml:space="preserve">Task 1 (Design &amp; migrate schema): In progress -&gt; Done.</t>
  </si>
  <si>
    <t xml:space="preserve">Task 2: fixed the nnph-dboh body_name bug in config/sources.yaml ('District Board of Health' -&gt; 'Northern Nevada Public Health'). Confirmed the Legistar JSON API 500s for this client (not usable); confirmed via the live calendar page that the corrected name matches a real, currently-listed meeting. Could not run scrapers/legistar.py itself end-to-end — outbound calls to legistar.com are blocked by network policy in both sandboxes available this session. Re-ran db/migrate.py so the database picks up the fix.</t>
  </si>
  <si>
    <t xml:space="preserve">Task 2 (Verify Legistar API access): Not started -&gt; Done (with one caveat noted in Notes).</t>
  </si>
  <si>
    <t xml:space="preserve">Task 3 recon (not started, not done): checked whether the sandboxes available this session can reach leg.state.nv.us to test/fix the NELIS scraper's selectors. They can't — blocked by network policy in both Claude's cloud workspace and the sandboxed shell on Jack's Mac (Playwright isn't even installed on the Mac's sandbox). Confirmed a plain fetch of the real meetings page returns zero meeting rows (JS-rendered page), matching the scraper's own docstring warning. Left a ready-to-run command in STATUS.md for Jack to test this himself from his own terminal, where network isn't restricted.</t>
  </si>
  <si>
    <t xml:space="preserve">No task status changed. Task 3 remains Not started — recon only, real fix needs Jack's own terminal.</t>
  </si>
  <si>
    <t xml:space="preserve">Task 3 verified: Jack ran scrapers/nelis.py himself from his own terminal (the only environment able to reach leg.state.nv.us this session) and got 7 real meetings back, not an empty list. Selectors work as-is — no code changes needed.</t>
  </si>
  <si>
    <t xml:space="preserve">Task 3 (Harden NELIS scraper selectors): Not started -&gt; Done.</t>
  </si>
  <si>
    <t xml:space="preserve">Health Docket — Gantt (auto-updates from Task Plan)</t>
  </si>
  <si>
    <t xml:space="preserve">Change dates/durations/status on the Task Plan tab — this chart redraws itself.</t>
  </si>
  <si>
    <t xml:space="preserve">Task (status)</t>
  </si>
  <si>
    <t xml:space="preserve">StartOff</t>
  </si>
  <si>
    <t xml:space="preserve">EndOff</t>
  </si>
</sst>
</file>

<file path=xl/styles.xml><?xml version="1.0" encoding="utf-8"?>
<styleSheet xmlns="http://schemas.openxmlformats.org/spreadsheetml/2006/main">
  <numFmts count="4">
    <numFmt numFmtId="164" formatCode="General"/>
    <numFmt numFmtId="165" formatCode="yyyy\-mm\-dd"/>
    <numFmt numFmtId="166" formatCode="m/d"/>
    <numFmt numFmtId="167" formatCode="General"/>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666666"/>
      <name val="Arial"/>
      <family val="0"/>
      <charset val="1"/>
    </font>
    <font>
      <b val="true"/>
      <sz val="11"/>
      <name val="Arial"/>
      <family val="0"/>
      <charset val="1"/>
    </font>
    <font>
      <sz val="11"/>
      <color rgb="FF0000FF"/>
      <name val="Arial"/>
      <family val="0"/>
      <charset val="1"/>
    </font>
    <font>
      <b val="true"/>
      <sz val="11"/>
      <color rgb="FFFFFFFF"/>
      <name val="Arial"/>
      <family val="0"/>
      <charset val="1"/>
    </font>
    <font>
      <sz val="11"/>
      <name val="Arial"/>
      <family val="0"/>
      <charset val="1"/>
    </font>
    <font>
      <sz val="9"/>
      <name val="Arial"/>
      <family val="0"/>
      <charset val="1"/>
    </font>
    <font>
      <i val="true"/>
      <sz val="9"/>
      <name val="Arial"/>
      <family val="0"/>
      <charset val="1"/>
    </font>
    <font>
      <sz val="9"/>
      <color rgb="FF1F5C2E"/>
      <name val="Arial"/>
      <family val="0"/>
      <charset val="1"/>
    </font>
    <font>
      <sz val="7"/>
      <color rgb="FF999999"/>
      <name val="Arial"/>
      <family val="0"/>
      <charset val="1"/>
    </font>
    <font>
      <b val="true"/>
      <sz val="8"/>
      <name val="Arial"/>
      <family val="0"/>
      <charset val="1"/>
    </font>
    <font>
      <sz val="8"/>
      <color rgb="FFAAAAAA"/>
      <name val="Arial"/>
      <family val="0"/>
      <charset val="1"/>
    </font>
  </fonts>
  <fills count="14">
    <fill>
      <patternFill patternType="none"/>
    </fill>
    <fill>
      <patternFill patternType="gray125"/>
    </fill>
    <fill>
      <patternFill patternType="solid">
        <fgColor rgb="FFFFFF00"/>
        <bgColor rgb="FFFFFF00"/>
      </patternFill>
    </fill>
    <fill>
      <patternFill patternType="solid">
        <fgColor rgb="FF22262B"/>
        <bgColor rgb="FF333300"/>
      </patternFill>
    </fill>
    <fill>
      <patternFill patternType="solid">
        <fgColor rgb="FFDCE1EC"/>
        <bgColor rgb="FFDCEADF"/>
      </patternFill>
    </fill>
    <fill>
      <patternFill patternType="solid">
        <fgColor rgb="FFFFF2CC"/>
        <bgColor rgb="FFF2F2F2"/>
      </patternFill>
    </fill>
    <fill>
      <patternFill patternType="solid">
        <fgColor rgb="FFF2F2F2"/>
        <bgColor rgb="FFFFFFFF"/>
      </patternFill>
    </fill>
    <fill>
      <patternFill patternType="solid">
        <fgColor rgb="FFDCEADF"/>
        <bgColor rgb="FFDCE1EC"/>
      </patternFill>
    </fill>
    <fill>
      <patternFill patternType="solid">
        <fgColor rgb="FFE9CDBF"/>
        <bgColor rgb="FFEEE0CB"/>
      </patternFill>
    </fill>
    <fill>
      <patternFill patternType="solid">
        <fgColor rgb="FFEEE0CB"/>
        <bgColor rgb="FFDCEADF"/>
      </patternFill>
    </fill>
    <fill>
      <patternFill patternType="solid">
        <fgColor rgb="FF3B4A6B"/>
        <bgColor rgb="FF3F6B4E"/>
      </patternFill>
    </fill>
    <fill>
      <patternFill patternType="solid">
        <fgColor rgb="FFA9402A"/>
        <bgColor rgb="FF993366"/>
      </patternFill>
    </fill>
    <fill>
      <patternFill patternType="solid">
        <fgColor rgb="FF3F6B4E"/>
        <bgColor rgb="FF666666"/>
      </patternFill>
    </fill>
    <fill>
      <patternFill patternType="solid">
        <fgColor rgb="FF8A5A2B"/>
        <bgColor rgb="FFA9402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7" fillId="2"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4" fontId="9" fillId="8" borderId="0" xfId="0" applyFont="true" applyBorder="false" applyAlignment="true" applyProtection="false">
      <alignment horizontal="general" vertical="bottom" textRotation="0" wrapText="false" indent="0" shrinkToFit="false"/>
      <protection locked="true" hidden="false"/>
    </xf>
    <xf numFmtId="164" fontId="9" fillId="9" borderId="0" xfId="0" applyFont="true" applyBorder="false" applyAlignment="true" applyProtection="false">
      <alignment horizontal="general" vertical="bottom" textRotation="0" wrapText="false" indent="0" shrinkToFit="false"/>
      <protection locked="true" hidden="false"/>
    </xf>
    <xf numFmtId="164" fontId="8" fillId="10" borderId="0" xfId="0" applyFont="true" applyBorder="false" applyAlignment="true" applyProtection="false">
      <alignment horizontal="general" vertical="bottom" textRotation="0" wrapText="false" indent="0" shrinkToFit="false"/>
      <protection locked="true" hidden="false"/>
    </xf>
    <xf numFmtId="164" fontId="8" fillId="11" borderId="0" xfId="0" applyFont="true" applyBorder="false" applyAlignment="true" applyProtection="false">
      <alignment horizontal="general" vertical="bottom" textRotation="0" wrapText="false" indent="0" shrinkToFit="false"/>
      <protection locked="true" hidden="false"/>
    </xf>
    <xf numFmtId="164" fontId="8" fillId="12" borderId="0" xfId="0" applyFont="true" applyBorder="false" applyAlignment="true" applyProtection="false">
      <alignment horizontal="general" vertical="bottom" textRotation="0" wrapText="false" indent="0" shrinkToFit="false"/>
      <protection locked="true" hidden="false"/>
    </xf>
    <xf numFmtId="164" fontId="8" fillId="13"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center" vertical="bottom" textRotation="9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3B4A6B"/>
        </patternFill>
      </fill>
    </dxf>
    <dxf>
      <fill>
        <patternFill>
          <bgColor rgb="FFA9402A"/>
        </patternFill>
      </fill>
    </dxf>
    <dxf>
      <fill>
        <patternFill>
          <bgColor rgb="FF3F6B4E"/>
        </patternFill>
      </fill>
    </dxf>
    <dxf>
      <fill>
        <patternFill>
          <bgColor rgb="FF8A5A2B"/>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F5C2E"/>
      <rgbColor rgb="FF000080"/>
      <rgbColor rgb="FF8A5A2B"/>
      <rgbColor rgb="FF800080"/>
      <rgbColor rgb="FF008080"/>
      <rgbColor rgb="FFAAAAAA"/>
      <rgbColor rgb="FF808080"/>
      <rgbColor rgb="FF9999FF"/>
      <rgbColor rgb="FF993366"/>
      <rgbColor rgb="FFFFF2CC"/>
      <rgbColor rgb="FFF2F2F2"/>
      <rgbColor rgb="FF660066"/>
      <rgbColor rgb="FFFF8080"/>
      <rgbColor rgb="FF0066CC"/>
      <rgbColor rgb="FFDCE1EC"/>
      <rgbColor rgb="FF000080"/>
      <rgbColor rgb="FFFF00FF"/>
      <rgbColor rgb="FFFFFF00"/>
      <rgbColor rgb="FF00FFFF"/>
      <rgbColor rgb="FF800080"/>
      <rgbColor rgb="FF800000"/>
      <rgbColor rgb="FF008080"/>
      <rgbColor rgb="FF0000FF"/>
      <rgbColor rgb="FF00CCFF"/>
      <rgbColor rgb="FFCCFFFF"/>
      <rgbColor rgb="FFDCEADF"/>
      <rgbColor rgb="FFEEE0CB"/>
      <rgbColor rgb="FF99CCFF"/>
      <rgbColor rgb="FFFF99CC"/>
      <rgbColor rgb="FFCC99FF"/>
      <rgbColor rgb="FFE9CDBF"/>
      <rgbColor rgb="FF3366FF"/>
      <rgbColor rgb="FF33CCCC"/>
      <rgbColor rgb="FF99CC00"/>
      <rgbColor rgb="FFFFCC00"/>
      <rgbColor rgb="FFFF9900"/>
      <rgbColor rgb="FFFF6600"/>
      <rgbColor rgb="FF666666"/>
      <rgbColor rgb="FF999999"/>
      <rgbColor rgb="FF003366"/>
      <rgbColor rgb="FF3F6B4E"/>
      <rgbColor rgb="FF003300"/>
      <rgbColor rgb="FF333300"/>
      <rgbColor rgb="FFA9402A"/>
      <rgbColor rgb="FF993366"/>
      <rgbColor rgb="FF3B4A6B"/>
      <rgbColor rgb="FF2226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5"/>
    <col collapsed="false" customWidth="true" hidden="false" outlineLevel="0" max="4" min="4" style="1" width="13"/>
    <col collapsed="false" customWidth="true" hidden="false" outlineLevel="0" max="5" min="5" style="1" width="14"/>
    <col collapsed="false" customWidth="true" hidden="false" outlineLevel="0" max="6" min="6" style="1" width="12"/>
    <col collapsed="false" customWidth="true" hidden="false" outlineLevel="0" max="8" min="7" style="1" width="10"/>
    <col collapsed="false" customWidth="true" hidden="false" outlineLevel="0" max="10" min="9" style="1" width="12"/>
    <col collapsed="false" customWidth="true" hidden="false" outlineLevel="0" max="11" min="11" style="1" width="30"/>
    <col collapsed="false" customWidth="true" hidden="false" outlineLevel="0" max="12" min="12" style="1" width="34"/>
    <col collapsed="false" customWidth="true" hidden="false" outlineLevel="0" max="13" min="13" style="1" width="40"/>
    <col collapsed="false" customWidth="true" hidden="false" outlineLevel="0" max="14" min="14" style="1" width="44"/>
  </cols>
  <sheetData>
    <row r="1" customFormat="false" ht="17.25" hidden="false" customHeight="true" outlineLevel="0" collapsed="false">
      <c r="A1" s="2" t="s">
        <v>0</v>
      </c>
      <c r="B1" s="2"/>
      <c r="C1" s="2"/>
      <c r="D1" s="2"/>
      <c r="E1" s="2"/>
      <c r="F1" s="2"/>
      <c r="G1" s="2"/>
      <c r="H1" s="2"/>
      <c r="I1" s="2"/>
      <c r="J1" s="2"/>
      <c r="K1" s="2"/>
      <c r="L1" s="2"/>
      <c r="M1" s="2"/>
      <c r="N1" s="2"/>
    </row>
    <row r="2" customFormat="false" ht="15" hidden="false" customHeight="true" outlineLevel="0" collapsed="false">
      <c r="A2" s="3" t="s">
        <v>1</v>
      </c>
      <c r="B2" s="3"/>
      <c r="C2" s="3"/>
      <c r="D2" s="3"/>
      <c r="E2" s="3"/>
      <c r="F2" s="3"/>
      <c r="G2" s="3"/>
      <c r="H2" s="3"/>
      <c r="I2" s="3"/>
      <c r="J2" s="3"/>
      <c r="K2" s="3"/>
      <c r="L2" s="3"/>
      <c r="M2" s="3"/>
      <c r="N2" s="3"/>
    </row>
    <row r="4" customFormat="false" ht="15" hidden="false" customHeight="true" outlineLevel="0" collapsed="false">
      <c r="A4" s="4" t="s">
        <v>2</v>
      </c>
      <c r="B4" s="5" t="s">
        <v>3</v>
      </c>
    </row>
    <row r="5" customFormat="false" ht="15" hidden="false" customHeight="true" outlineLevel="0" collapsed="false">
      <c r="A5" s="4" t="s">
        <v>4</v>
      </c>
      <c r="B5" s="6" t="n">
        <f aca="true">TODAY()</f>
        <v>46284</v>
      </c>
    </row>
    <row r="7" customFormat="false" ht="51.75" hidden="false" customHeight="true" outlineLevel="0" collapsed="false">
      <c r="A7" s="7" t="s">
        <v>5</v>
      </c>
      <c r="B7" s="7" t="s">
        <v>6</v>
      </c>
      <c r="C7" s="7" t="s">
        <v>7</v>
      </c>
      <c r="D7" s="7" t="s">
        <v>8</v>
      </c>
      <c r="E7" s="7" t="s">
        <v>9</v>
      </c>
      <c r="F7" s="7" t="s">
        <v>10</v>
      </c>
      <c r="G7" s="7" t="s">
        <v>11</v>
      </c>
      <c r="H7" s="7" t="s">
        <v>12</v>
      </c>
      <c r="I7" s="7" t="s">
        <v>13</v>
      </c>
      <c r="J7" s="7" t="s">
        <v>14</v>
      </c>
      <c r="K7" s="7" t="s">
        <v>15</v>
      </c>
      <c r="L7" s="7" t="s">
        <v>16</v>
      </c>
      <c r="M7" s="7" t="s">
        <v>17</v>
      </c>
      <c r="N7" s="7" t="s">
        <v>18</v>
      </c>
    </row>
    <row r="8" customFormat="false" ht="31.5" hidden="false" customHeight="true" outlineLevel="0" collapsed="false">
      <c r="A8" s="8" t="n">
        <v>1</v>
      </c>
      <c r="B8" s="8" t="s">
        <v>19</v>
      </c>
      <c r="C8" s="9" t="s">
        <v>20</v>
      </c>
      <c r="D8" s="10" t="s">
        <v>21</v>
      </c>
      <c r="E8" s="8" t="s">
        <v>22</v>
      </c>
      <c r="F8" s="11" t="n">
        <v>7</v>
      </c>
      <c r="G8" s="11" t="n">
        <v>0</v>
      </c>
      <c r="H8" s="8" t="n">
        <f aca="false">G8+F8-1</f>
        <v>6</v>
      </c>
      <c r="I8" s="12" t="n">
        <f aca="false">$B$4+G8</f>
        <v>46287</v>
      </c>
      <c r="J8" s="12" t="n">
        <f aca="false">$B$4+H8</f>
        <v>46293</v>
      </c>
      <c r="K8" s="13" t="s">
        <v>23</v>
      </c>
      <c r="L8" s="14" t="s">
        <v>24</v>
      </c>
      <c r="M8" s="13" t="s">
        <v>25</v>
      </c>
      <c r="N8" s="15" t="s">
        <v>26</v>
      </c>
    </row>
    <row r="9" customFormat="false" ht="31.5" hidden="false" customHeight="true" outlineLevel="0" collapsed="false">
      <c r="A9" s="8" t="n">
        <v>2</v>
      </c>
      <c r="B9" s="8" t="s">
        <v>27</v>
      </c>
      <c r="C9" s="9" t="s">
        <v>20</v>
      </c>
      <c r="D9" s="16" t="s">
        <v>21</v>
      </c>
      <c r="E9" s="8" t="s">
        <v>22</v>
      </c>
      <c r="F9" s="11" t="n">
        <v>3</v>
      </c>
      <c r="G9" s="11" t="n">
        <v>0</v>
      </c>
      <c r="H9" s="8" t="n">
        <f aca="false">G9+F9-1</f>
        <v>2</v>
      </c>
      <c r="I9" s="12" t="n">
        <f aca="false">$B$4+G9</f>
        <v>46287</v>
      </c>
      <c r="J9" s="12" t="n">
        <f aca="false">$B$4+H9</f>
        <v>46289</v>
      </c>
      <c r="K9" s="13" t="s">
        <v>28</v>
      </c>
      <c r="L9" s="14" t="s">
        <v>29</v>
      </c>
      <c r="M9" s="13" t="s">
        <v>30</v>
      </c>
      <c r="N9" s="15" t="s">
        <v>31</v>
      </c>
    </row>
    <row r="10" customFormat="false" ht="31.5" hidden="false" customHeight="true" outlineLevel="0" collapsed="false">
      <c r="A10" s="8" t="n">
        <v>3</v>
      </c>
      <c r="B10" s="8" t="s">
        <v>32</v>
      </c>
      <c r="C10" s="9" t="s">
        <v>20</v>
      </c>
      <c r="D10" s="16" t="s">
        <v>21</v>
      </c>
      <c r="E10" s="8" t="s">
        <v>22</v>
      </c>
      <c r="F10" s="11" t="n">
        <v>4</v>
      </c>
      <c r="G10" s="11" t="n">
        <v>0</v>
      </c>
      <c r="H10" s="8" t="n">
        <f aca="false">G10+F10-1</f>
        <v>3</v>
      </c>
      <c r="I10" s="12" t="n">
        <f aca="false">$B$4+G10</f>
        <v>46287</v>
      </c>
      <c r="J10" s="12" t="n">
        <f aca="false">$B$4+H10</f>
        <v>46290</v>
      </c>
      <c r="K10" s="13" t="s">
        <v>33</v>
      </c>
      <c r="L10" s="14" t="s">
        <v>34</v>
      </c>
      <c r="M10" s="13" t="s">
        <v>35</v>
      </c>
      <c r="N10" s="15" t="s">
        <v>36</v>
      </c>
    </row>
    <row r="11" customFormat="false" ht="31.5" hidden="false" customHeight="true" outlineLevel="0" collapsed="false">
      <c r="A11" s="8" t="n">
        <v>4</v>
      </c>
      <c r="B11" s="8" t="s">
        <v>37</v>
      </c>
      <c r="C11" s="9" t="s">
        <v>20</v>
      </c>
      <c r="D11" s="16" t="s">
        <v>38</v>
      </c>
      <c r="E11" s="8" t="s">
        <v>22</v>
      </c>
      <c r="F11" s="11" t="n">
        <v>4</v>
      </c>
      <c r="G11" s="11" t="n">
        <v>3</v>
      </c>
      <c r="H11" s="8" t="n">
        <f aca="false">G11+F11-1</f>
        <v>6</v>
      </c>
      <c r="I11" s="12" t="n">
        <f aca="false">$B$4+G11</f>
        <v>46290</v>
      </c>
      <c r="J11" s="12" t="n">
        <f aca="false">$B$4+H11</f>
        <v>46293</v>
      </c>
      <c r="K11" s="13" t="s">
        <v>39</v>
      </c>
      <c r="L11" s="14" t="s">
        <v>40</v>
      </c>
      <c r="M11" s="13" t="s">
        <v>41</v>
      </c>
      <c r="N11" s="15" t="s">
        <v>42</v>
      </c>
    </row>
    <row r="12" customFormat="false" ht="31.5" hidden="false" customHeight="true" outlineLevel="0" collapsed="false">
      <c r="A12" s="8" t="n">
        <v>5</v>
      </c>
      <c r="B12" s="8" t="s">
        <v>43</v>
      </c>
      <c r="C12" s="17" t="s">
        <v>44</v>
      </c>
      <c r="D12" s="16" t="s">
        <v>38</v>
      </c>
      <c r="E12" s="8" t="s">
        <v>45</v>
      </c>
      <c r="F12" s="11" t="n">
        <v>10</v>
      </c>
      <c r="G12" s="8" t="n">
        <f aca="false">$H$8+1</f>
        <v>7</v>
      </c>
      <c r="H12" s="8" t="n">
        <f aca="false">G12+F12-1</f>
        <v>16</v>
      </c>
      <c r="I12" s="12" t="n">
        <f aca="false">$B$4+G12</f>
        <v>46294</v>
      </c>
      <c r="J12" s="12" t="n">
        <f aca="false">$B$4+H12</f>
        <v>46303</v>
      </c>
      <c r="K12" s="13" t="s">
        <v>46</v>
      </c>
      <c r="L12" s="14" t="s">
        <v>47</v>
      </c>
      <c r="M12" s="13" t="s">
        <v>48</v>
      </c>
      <c r="N12" s="15" t="s">
        <v>49</v>
      </c>
    </row>
    <row r="13" customFormat="false" ht="31.5" hidden="false" customHeight="true" outlineLevel="0" collapsed="false">
      <c r="A13" s="8" t="n">
        <v>6</v>
      </c>
      <c r="B13" s="8" t="s">
        <v>50</v>
      </c>
      <c r="C13" s="18" t="s">
        <v>51</v>
      </c>
      <c r="D13" s="16" t="s">
        <v>38</v>
      </c>
      <c r="E13" s="8" t="s">
        <v>52</v>
      </c>
      <c r="F13" s="11" t="n">
        <v>10</v>
      </c>
      <c r="G13" s="8" t="n">
        <f aca="false">MAX($H$8,$H$9,$H$10)+1</f>
        <v>7</v>
      </c>
      <c r="H13" s="8" t="n">
        <f aca="false">G13+F13-1</f>
        <v>16</v>
      </c>
      <c r="I13" s="12" t="n">
        <f aca="false">$B$4+G13</f>
        <v>46294</v>
      </c>
      <c r="J13" s="12" t="n">
        <f aca="false">$B$4+H13</f>
        <v>46303</v>
      </c>
      <c r="K13" s="13" t="s">
        <v>53</v>
      </c>
      <c r="L13" s="14" t="s">
        <v>54</v>
      </c>
      <c r="M13" s="13" t="s">
        <v>55</v>
      </c>
      <c r="N13" s="15" t="s">
        <v>56</v>
      </c>
    </row>
    <row r="14" customFormat="false" ht="31.5" hidden="false" customHeight="true" outlineLevel="0" collapsed="false">
      <c r="A14" s="8" t="n">
        <v>7</v>
      </c>
      <c r="B14" s="8" t="s">
        <v>57</v>
      </c>
      <c r="C14" s="18" t="s">
        <v>51</v>
      </c>
      <c r="D14" s="16" t="s">
        <v>38</v>
      </c>
      <c r="E14" s="8" t="s">
        <v>58</v>
      </c>
      <c r="F14" s="11" t="n">
        <v>7</v>
      </c>
      <c r="G14" s="8" t="n">
        <f aca="false">$H$13+1</f>
        <v>17</v>
      </c>
      <c r="H14" s="8" t="n">
        <f aca="false">G14+F14-1</f>
        <v>23</v>
      </c>
      <c r="I14" s="12" t="n">
        <f aca="false">$B$4+G14</f>
        <v>46304</v>
      </c>
      <c r="J14" s="12" t="n">
        <f aca="false">$B$4+H14</f>
        <v>46310</v>
      </c>
      <c r="K14" s="13" t="s">
        <v>59</v>
      </c>
      <c r="L14" s="14" t="s">
        <v>60</v>
      </c>
      <c r="M14" s="13" t="s">
        <v>61</v>
      </c>
      <c r="N14" s="15" t="s">
        <v>62</v>
      </c>
    </row>
    <row r="15" customFormat="false" ht="31.5" hidden="false" customHeight="true" outlineLevel="0" collapsed="false">
      <c r="A15" s="8" t="n">
        <v>8</v>
      </c>
      <c r="B15" s="8" t="s">
        <v>63</v>
      </c>
      <c r="C15" s="18" t="s">
        <v>51</v>
      </c>
      <c r="D15" s="16" t="s">
        <v>38</v>
      </c>
      <c r="E15" s="8" t="s">
        <v>64</v>
      </c>
      <c r="F15" s="11" t="n">
        <v>7</v>
      </c>
      <c r="G15" s="8" t="n">
        <f aca="false">$H$14+1</f>
        <v>24</v>
      </c>
      <c r="H15" s="8" t="n">
        <f aca="false">G15+F15-1</f>
        <v>30</v>
      </c>
      <c r="I15" s="12" t="n">
        <f aca="false">$B$4+G15</f>
        <v>46311</v>
      </c>
      <c r="J15" s="12" t="n">
        <f aca="false">$B$4+H15</f>
        <v>46317</v>
      </c>
      <c r="K15" s="13" t="s">
        <v>65</v>
      </c>
      <c r="L15" s="14" t="s">
        <v>66</v>
      </c>
      <c r="M15" s="13" t="s">
        <v>67</v>
      </c>
      <c r="N15" s="15" t="s">
        <v>68</v>
      </c>
    </row>
    <row r="16" customFormat="false" ht="31.5" hidden="false" customHeight="true" outlineLevel="0" collapsed="false">
      <c r="A16" s="8" t="n">
        <v>9</v>
      </c>
      <c r="B16" s="8" t="s">
        <v>69</v>
      </c>
      <c r="C16" s="18" t="s">
        <v>51</v>
      </c>
      <c r="D16" s="16" t="s">
        <v>38</v>
      </c>
      <c r="E16" s="8" t="s">
        <v>70</v>
      </c>
      <c r="F16" s="11" t="n">
        <v>3</v>
      </c>
      <c r="G16" s="8" t="n">
        <f aca="false">$H$15+1</f>
        <v>31</v>
      </c>
      <c r="H16" s="8" t="n">
        <f aca="false">G16+F16-1</f>
        <v>33</v>
      </c>
      <c r="I16" s="12" t="n">
        <f aca="false">$B$4+G16</f>
        <v>46318</v>
      </c>
      <c r="J16" s="12" t="n">
        <f aca="false">$B$4+H16</f>
        <v>46320</v>
      </c>
      <c r="K16" s="13" t="s">
        <v>71</v>
      </c>
      <c r="L16" s="14" t="s">
        <v>72</v>
      </c>
      <c r="M16" s="13" t="s">
        <v>73</v>
      </c>
      <c r="N16" s="15" t="s">
        <v>74</v>
      </c>
    </row>
    <row r="17" customFormat="false" ht="31.5" hidden="false" customHeight="true" outlineLevel="0" collapsed="false">
      <c r="A17" s="8" t="n">
        <v>10</v>
      </c>
      <c r="B17" s="8" t="s">
        <v>75</v>
      </c>
      <c r="C17" s="19" t="s">
        <v>76</v>
      </c>
      <c r="D17" s="16" t="s">
        <v>38</v>
      </c>
      <c r="E17" s="8" t="s">
        <v>77</v>
      </c>
      <c r="F17" s="11" t="n">
        <v>10</v>
      </c>
      <c r="G17" s="8" t="n">
        <f aca="false">MAX($H$12,$H$16,$H$11)+1</f>
        <v>34</v>
      </c>
      <c r="H17" s="8" t="n">
        <f aca="false">G17+F17-1</f>
        <v>43</v>
      </c>
      <c r="I17" s="12" t="n">
        <f aca="false">$B$4+G17</f>
        <v>46321</v>
      </c>
      <c r="J17" s="12" t="n">
        <f aca="false">$B$4+H17</f>
        <v>46330</v>
      </c>
      <c r="K17" s="13" t="s">
        <v>78</v>
      </c>
      <c r="L17" s="14" t="s">
        <v>79</v>
      </c>
      <c r="M17" s="13" t="s">
        <v>80</v>
      </c>
      <c r="N17" s="15" t="s">
        <v>81</v>
      </c>
    </row>
    <row r="20" customFormat="false" ht="15" hidden="false" customHeight="true" outlineLevel="0" collapsed="false">
      <c r="A20" s="4" t="s">
        <v>82</v>
      </c>
      <c r="B20" s="20" t="s">
        <v>20</v>
      </c>
      <c r="C20" s="21" t="s">
        <v>51</v>
      </c>
      <c r="D20" s="22" t="s">
        <v>44</v>
      </c>
      <c r="E20" s="23" t="s">
        <v>76</v>
      </c>
    </row>
    <row r="23" customFormat="false" ht="15" hidden="false" customHeight="true" outlineLevel="0" collapsed="false">
      <c r="A23" s="4" t="s">
        <v>83</v>
      </c>
    </row>
    <row r="24" customFormat="false" ht="15" hidden="false" customHeight="true" outlineLevel="0" collapsed="false">
      <c r="A24" s="24" t="s">
        <v>84</v>
      </c>
      <c r="B24" s="24" t="s">
        <v>85</v>
      </c>
      <c r="C24" s="24" t="s">
        <v>86</v>
      </c>
    </row>
    <row r="25" customFormat="false" ht="39.75" hidden="false" customHeight="true" outlineLevel="0" collapsed="false">
      <c r="A25" s="13" t="s">
        <v>87</v>
      </c>
      <c r="B25" s="13" t="s">
        <v>88</v>
      </c>
      <c r="C25" s="13" t="s">
        <v>89</v>
      </c>
    </row>
    <row r="26" customFormat="false" ht="15" hidden="false" customHeight="true" outlineLevel="0" collapsed="false">
      <c r="A26" s="1" t="s">
        <v>87</v>
      </c>
      <c r="B26" s="1" t="s">
        <v>90</v>
      </c>
      <c r="C26" s="1" t="s">
        <v>91</v>
      </c>
    </row>
    <row r="27" customFormat="false" ht="15" hidden="false" customHeight="true" outlineLevel="0" collapsed="false">
      <c r="A27" s="1" t="s">
        <v>87</v>
      </c>
      <c r="B27" s="1" t="s">
        <v>92</v>
      </c>
      <c r="C27" s="1" t="s">
        <v>93</v>
      </c>
    </row>
    <row r="28" customFormat="false" ht="15" hidden="false" customHeight="true" outlineLevel="0" collapsed="false">
      <c r="A28" s="1" t="s">
        <v>87</v>
      </c>
      <c r="B28" s="1" t="s">
        <v>94</v>
      </c>
      <c r="C28" s="1" t="s">
        <v>95</v>
      </c>
    </row>
    <row r="29" customFormat="false" ht="15" hidden="false" customHeight="false" outlineLevel="0" collapsed="false">
      <c r="A29" s="1" t="s">
        <v>87</v>
      </c>
      <c r="B29" s="1" t="s">
        <v>96</v>
      </c>
      <c r="C29" s="1" t="s">
        <v>97</v>
      </c>
    </row>
  </sheetData>
  <mergeCells count="2">
    <mergeCell ref="A1:N1"/>
    <mergeCell ref="A2:N2"/>
  </mergeCells>
  <dataValidations count="1">
    <dataValidation allowBlank="false" errorStyle="stop" operator="between" showDropDown="false" showErrorMessage="false" showInputMessage="false" sqref="D8:D17" type="list">
      <formula1>"Not started,In progress,Blocked,Done"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X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3" min="3" style="1" width="13"/>
    <col collapsed="false" customWidth="true" hidden="false" outlineLevel="0" max="47" min="4" style="1" width="3"/>
  </cols>
  <sheetData>
    <row r="1" customFormat="false" ht="17.25" hidden="false" customHeight="true" outlineLevel="0" collapsed="false">
      <c r="A1" s="2" t="s">
        <v>98</v>
      </c>
      <c r="B1" s="2"/>
      <c r="C1" s="2"/>
      <c r="D1" s="2"/>
      <c r="E1" s="2"/>
      <c r="F1" s="2"/>
      <c r="G1" s="2"/>
      <c r="H1" s="2"/>
    </row>
    <row r="2" customFormat="false" ht="15" hidden="false" customHeight="true" outlineLevel="0" collapsed="false">
      <c r="A2" s="3" t="s">
        <v>99</v>
      </c>
      <c r="B2" s="3"/>
      <c r="C2" s="3"/>
      <c r="D2" s="3"/>
      <c r="E2" s="3"/>
      <c r="F2" s="3"/>
      <c r="G2" s="3"/>
      <c r="H2" s="3"/>
    </row>
    <row r="4" customFormat="false" ht="15" hidden="false" customHeight="true" outlineLevel="0" collapsed="false">
      <c r="A4" s="4" t="s">
        <v>5</v>
      </c>
      <c r="B4" s="4" t="s">
        <v>100</v>
      </c>
      <c r="C4" s="4" t="s">
        <v>7</v>
      </c>
      <c r="D4" s="25" t="n">
        <v>0</v>
      </c>
      <c r="E4" s="25" t="n">
        <v>1</v>
      </c>
      <c r="F4" s="25" t="n">
        <v>2</v>
      </c>
      <c r="G4" s="25" t="n">
        <v>3</v>
      </c>
      <c r="H4" s="25" t="n">
        <v>4</v>
      </c>
      <c r="I4" s="25" t="n">
        <v>5</v>
      </c>
      <c r="J4" s="25" t="n">
        <v>6</v>
      </c>
      <c r="K4" s="25" t="n">
        <v>7</v>
      </c>
      <c r="L4" s="25" t="n">
        <v>8</v>
      </c>
      <c r="M4" s="25" t="n">
        <v>9</v>
      </c>
      <c r="N4" s="25" t="n">
        <v>10</v>
      </c>
      <c r="O4" s="25" t="n">
        <v>11</v>
      </c>
      <c r="P4" s="25" t="n">
        <v>12</v>
      </c>
      <c r="Q4" s="25" t="n">
        <v>13</v>
      </c>
      <c r="R4" s="25" t="n">
        <v>14</v>
      </c>
      <c r="S4" s="25" t="n">
        <v>15</v>
      </c>
      <c r="T4" s="25" t="n">
        <v>16</v>
      </c>
      <c r="U4" s="25" t="n">
        <v>17</v>
      </c>
      <c r="V4" s="25" t="n">
        <v>18</v>
      </c>
      <c r="W4" s="25" t="n">
        <v>19</v>
      </c>
      <c r="X4" s="25" t="n">
        <v>20</v>
      </c>
      <c r="Y4" s="25" t="n">
        <v>21</v>
      </c>
      <c r="Z4" s="25" t="n">
        <v>22</v>
      </c>
      <c r="AA4" s="25" t="n">
        <v>23</v>
      </c>
      <c r="AB4" s="25" t="n">
        <v>24</v>
      </c>
      <c r="AC4" s="25" t="n">
        <v>25</v>
      </c>
      <c r="AD4" s="25" t="n">
        <v>26</v>
      </c>
      <c r="AE4" s="25" t="n">
        <v>27</v>
      </c>
      <c r="AF4" s="25" t="n">
        <v>28</v>
      </c>
      <c r="AG4" s="25" t="n">
        <v>29</v>
      </c>
      <c r="AH4" s="25" t="n">
        <v>30</v>
      </c>
      <c r="AI4" s="25" t="n">
        <v>31</v>
      </c>
      <c r="AJ4" s="25" t="n">
        <v>32</v>
      </c>
      <c r="AK4" s="25" t="n">
        <v>33</v>
      </c>
      <c r="AL4" s="25" t="n">
        <v>34</v>
      </c>
      <c r="AM4" s="25" t="n">
        <v>35</v>
      </c>
      <c r="AN4" s="25" t="n">
        <v>36</v>
      </c>
      <c r="AO4" s="25" t="n">
        <v>37</v>
      </c>
      <c r="AP4" s="25" t="n">
        <v>38</v>
      </c>
      <c r="AQ4" s="25" t="n">
        <v>39</v>
      </c>
      <c r="AR4" s="25" t="n">
        <v>40</v>
      </c>
      <c r="AS4" s="25" t="n">
        <v>41</v>
      </c>
      <c r="AT4" s="25" t="n">
        <v>42</v>
      </c>
      <c r="AU4" s="25" t="n">
        <v>43</v>
      </c>
      <c r="AW4" s="26" t="s">
        <v>101</v>
      </c>
      <c r="AX4" s="26" t="s">
        <v>102</v>
      </c>
    </row>
    <row r="5" customFormat="false" ht="33.75" hidden="false" customHeight="true" outlineLevel="0" collapsed="false">
      <c r="D5" s="27" t="n">
        <f aca="false">'Task Plan'!$B$4+0</f>
        <v>46287</v>
      </c>
      <c r="E5" s="27" t="n">
        <f aca="false">'Task Plan'!$B$4+1</f>
        <v>46288</v>
      </c>
      <c r="F5" s="27" t="n">
        <f aca="false">'Task Plan'!$B$4+2</f>
        <v>46289</v>
      </c>
      <c r="G5" s="27" t="n">
        <f aca="false">'Task Plan'!$B$4+3</f>
        <v>46290</v>
      </c>
      <c r="H5" s="27" t="n">
        <f aca="false">'Task Plan'!$B$4+4</f>
        <v>46291</v>
      </c>
      <c r="I5" s="27" t="n">
        <f aca="false">'Task Plan'!$B$4+5</f>
        <v>46292</v>
      </c>
      <c r="J5" s="27" t="n">
        <f aca="false">'Task Plan'!$B$4+6</f>
        <v>46293</v>
      </c>
      <c r="K5" s="27" t="n">
        <f aca="false">'Task Plan'!$B$4+7</f>
        <v>46294</v>
      </c>
      <c r="L5" s="27" t="n">
        <f aca="false">'Task Plan'!$B$4+8</f>
        <v>46295</v>
      </c>
      <c r="M5" s="27" t="n">
        <f aca="false">'Task Plan'!$B$4+9</f>
        <v>46296</v>
      </c>
      <c r="N5" s="27" t="n">
        <f aca="false">'Task Plan'!$B$4+10</f>
        <v>46297</v>
      </c>
      <c r="O5" s="27" t="n">
        <f aca="false">'Task Plan'!$B$4+11</f>
        <v>46298</v>
      </c>
      <c r="P5" s="27" t="n">
        <f aca="false">'Task Plan'!$B$4+12</f>
        <v>46299</v>
      </c>
      <c r="Q5" s="27" t="n">
        <f aca="false">'Task Plan'!$B$4+13</f>
        <v>46300</v>
      </c>
      <c r="R5" s="27" t="n">
        <f aca="false">'Task Plan'!$B$4+14</f>
        <v>46301</v>
      </c>
      <c r="S5" s="27" t="n">
        <f aca="false">'Task Plan'!$B$4+15</f>
        <v>46302</v>
      </c>
      <c r="T5" s="27" t="n">
        <f aca="false">'Task Plan'!$B$4+16</f>
        <v>46303</v>
      </c>
      <c r="U5" s="27" t="n">
        <f aca="false">'Task Plan'!$B$4+17</f>
        <v>46304</v>
      </c>
      <c r="V5" s="27" t="n">
        <f aca="false">'Task Plan'!$B$4+18</f>
        <v>46305</v>
      </c>
      <c r="W5" s="27" t="n">
        <f aca="false">'Task Plan'!$B$4+19</f>
        <v>46306</v>
      </c>
      <c r="X5" s="27" t="n">
        <f aca="false">'Task Plan'!$B$4+20</f>
        <v>46307</v>
      </c>
      <c r="Y5" s="27" t="n">
        <f aca="false">'Task Plan'!$B$4+21</f>
        <v>46308</v>
      </c>
      <c r="Z5" s="27" t="n">
        <f aca="false">'Task Plan'!$B$4+22</f>
        <v>46309</v>
      </c>
      <c r="AA5" s="27" t="n">
        <f aca="false">'Task Plan'!$B$4+23</f>
        <v>46310</v>
      </c>
      <c r="AB5" s="27" t="n">
        <f aca="false">'Task Plan'!$B$4+24</f>
        <v>46311</v>
      </c>
      <c r="AC5" s="27" t="n">
        <f aca="false">'Task Plan'!$B$4+25</f>
        <v>46312</v>
      </c>
      <c r="AD5" s="27" t="n">
        <f aca="false">'Task Plan'!$B$4+26</f>
        <v>46313</v>
      </c>
      <c r="AE5" s="27" t="n">
        <f aca="false">'Task Plan'!$B$4+27</f>
        <v>46314</v>
      </c>
      <c r="AF5" s="27" t="n">
        <f aca="false">'Task Plan'!$B$4+28</f>
        <v>46315</v>
      </c>
      <c r="AG5" s="27" t="n">
        <f aca="false">'Task Plan'!$B$4+29</f>
        <v>46316</v>
      </c>
      <c r="AH5" s="27" t="n">
        <f aca="false">'Task Plan'!$B$4+30</f>
        <v>46317</v>
      </c>
      <c r="AI5" s="27" t="n">
        <f aca="false">'Task Plan'!$B$4+31</f>
        <v>46318</v>
      </c>
      <c r="AJ5" s="27" t="n">
        <f aca="false">'Task Plan'!$B$4+32</f>
        <v>46319</v>
      </c>
      <c r="AK5" s="27" t="n">
        <f aca="false">'Task Plan'!$B$4+33</f>
        <v>46320</v>
      </c>
      <c r="AL5" s="27" t="n">
        <f aca="false">'Task Plan'!$B$4+34</f>
        <v>46321</v>
      </c>
      <c r="AM5" s="27" t="n">
        <f aca="false">'Task Plan'!$B$4+35</f>
        <v>46322</v>
      </c>
      <c r="AN5" s="27" t="n">
        <f aca="false">'Task Plan'!$B$4+36</f>
        <v>46323</v>
      </c>
      <c r="AO5" s="27" t="n">
        <f aca="false">'Task Plan'!$B$4+37</f>
        <v>46324</v>
      </c>
      <c r="AP5" s="27" t="n">
        <f aca="false">'Task Plan'!$B$4+38</f>
        <v>46325</v>
      </c>
      <c r="AQ5" s="27" t="n">
        <f aca="false">'Task Plan'!$B$4+39</f>
        <v>46326</v>
      </c>
      <c r="AR5" s="27" t="n">
        <f aca="false">'Task Plan'!$B$4+40</f>
        <v>46327</v>
      </c>
      <c r="AS5" s="27" t="n">
        <f aca="false">'Task Plan'!$B$4+41</f>
        <v>46328</v>
      </c>
      <c r="AT5" s="27" t="n">
        <f aca="false">'Task Plan'!$B$4+42</f>
        <v>46329</v>
      </c>
      <c r="AU5" s="27" t="n">
        <f aca="false">'Task Plan'!$B$4+43</f>
        <v>46330</v>
      </c>
    </row>
    <row r="7" customFormat="false" ht="15" hidden="false" customHeight="true" outlineLevel="0" collapsed="false">
      <c r="A7" s="8" t="n">
        <f aca="false">'Task Plan'!A8</f>
        <v>1</v>
      </c>
      <c r="B7" s="28" t="str">
        <f aca="false">'Task Plan'!B8&amp;" ["&amp;'Task Plan'!D8&amp;"]"</f>
        <v>Design &amp; migrate schema [Done]</v>
      </c>
      <c r="C7" s="29" t="str">
        <f aca="false">'Task Plan'!C8</f>
        <v>Foundation</v>
      </c>
      <c r="AW7" s="30" t="n">
        <f aca="false">'Task Plan'!G8</f>
        <v>0</v>
      </c>
      <c r="AX7" s="30" t="n">
        <f aca="false">'Task Plan'!H8</f>
        <v>6</v>
      </c>
    </row>
    <row r="8" customFormat="false" ht="15" hidden="false" customHeight="true" outlineLevel="0" collapsed="false">
      <c r="A8" s="8" t="n">
        <f aca="false">'Task Plan'!A9</f>
        <v>2</v>
      </c>
      <c r="B8" s="28" t="str">
        <f aca="false">'Task Plan'!B9&amp;" ["&amp;'Task Plan'!D9&amp;"]"</f>
        <v>Verify Legistar API access (nnph-dboh) [Done]</v>
      </c>
      <c r="C8" s="29" t="str">
        <f aca="false">'Task Plan'!C9</f>
        <v>Foundation</v>
      </c>
      <c r="AW8" s="30" t="n">
        <f aca="false">'Task Plan'!G9</f>
        <v>0</v>
      </c>
      <c r="AX8" s="30" t="n">
        <f aca="false">'Task Plan'!H9</f>
        <v>2</v>
      </c>
    </row>
    <row r="9" customFormat="false" ht="15" hidden="false" customHeight="true" outlineLevel="0" collapsed="false">
      <c r="A9" s="8" t="n">
        <f aca="false">'Task Plan'!A10</f>
        <v>3</v>
      </c>
      <c r="B9" s="28" t="str">
        <f aca="false">'Task Plan'!B10&amp;" ["&amp;'Task Plan'!D10&amp;"]"</f>
        <v>Harden NELIS scraper selectors [Done]</v>
      </c>
      <c r="C9" s="29" t="str">
        <f aca="false">'Task Plan'!C10</f>
        <v>Foundation</v>
      </c>
      <c r="AW9" s="30" t="n">
        <f aca="false">'Task Plan'!G10</f>
        <v>0</v>
      </c>
      <c r="AX9" s="30" t="n">
        <f aca="false">'Task Plan'!H10</f>
        <v>3</v>
      </c>
    </row>
    <row r="10" customFormat="false" ht="15" hidden="false" customHeight="true" outlineLevel="0" collapsed="false">
      <c r="A10" s="8" t="n">
        <f aca="false">'Task Plan'!A11</f>
        <v>4</v>
      </c>
      <c r="B10" s="28" t="str">
        <f aca="false">'Task Plan'!B11&amp;" ["&amp;'Task Plan'!D11&amp;"]"</f>
        <v>Provision hosting [Not started]</v>
      </c>
      <c r="C10" s="29" t="str">
        <f aca="false">'Task Plan'!C11</f>
        <v>Foundation</v>
      </c>
      <c r="AW10" s="30" t="n">
        <f aca="false">'Task Plan'!G11</f>
        <v>3</v>
      </c>
      <c r="AX10" s="30" t="n">
        <f aca="false">'Task Plan'!H11</f>
        <v>6</v>
      </c>
    </row>
    <row r="11" customFormat="false" ht="15" hidden="false" customHeight="true" outlineLevel="0" collapsed="false">
      <c r="A11" s="8" t="n">
        <f aca="false">'Task Plan'!A12</f>
        <v>5</v>
      </c>
      <c r="B11" s="28" t="str">
        <f aca="false">'Task Plan'!B12&amp;" ["&amp;'Task Plan'!D12&amp;"]"</f>
        <v>Backend API [Not started]</v>
      </c>
      <c r="C11" s="29" t="str">
        <f aca="false">'Task Plan'!C12</f>
        <v>Backend/Frontend</v>
      </c>
      <c r="AW11" s="30" t="n">
        <f aca="false">'Task Plan'!G12</f>
        <v>7</v>
      </c>
      <c r="AX11" s="30" t="n">
        <f aca="false">'Task Plan'!H12</f>
        <v>16</v>
      </c>
    </row>
    <row r="12" customFormat="false" ht="15" hidden="false" customHeight="true" outlineLevel="0" collapsed="false">
      <c r="A12" s="8" t="n">
        <f aca="false">'Task Plan'!A13</f>
        <v>6</v>
      </c>
      <c r="B12" s="28" t="str">
        <f aca="false">'Task Plan'!B13&amp;" ["&amp;'Task Plan'!D13&amp;"]"</f>
        <v>Document capture pipeline [Not started]</v>
      </c>
      <c r="C12" s="29" t="str">
        <f aca="false">'Task Plan'!C13</f>
        <v>Data pipeline</v>
      </c>
      <c r="AW12" s="30" t="n">
        <f aca="false">'Task Plan'!G13</f>
        <v>7</v>
      </c>
      <c r="AX12" s="30" t="n">
        <f aca="false">'Task Plan'!H13</f>
        <v>16</v>
      </c>
    </row>
    <row r="13" customFormat="false" ht="15" hidden="false" customHeight="true" outlineLevel="0" collapsed="false">
      <c r="A13" s="8" t="n">
        <f aca="false">'Task Plan'!A14</f>
        <v>7</v>
      </c>
      <c r="B13" s="28" t="str">
        <f aca="false">'Task Plan'!B14&amp;" ["&amp;'Task Plan'!D14&amp;"]"</f>
        <v>Extraction pipeline (OCR + LLM) [Not started]</v>
      </c>
      <c r="C13" s="29" t="str">
        <f aca="false">'Task Plan'!C14</f>
        <v>Data pipeline</v>
      </c>
      <c r="AW13" s="30" t="n">
        <f aca="false">'Task Plan'!G14</f>
        <v>17</v>
      </c>
      <c r="AX13" s="30" t="n">
        <f aca="false">'Task Plan'!H14</f>
        <v>23</v>
      </c>
    </row>
    <row r="14" customFormat="false" ht="15" hidden="false" customHeight="true" outlineLevel="0" collapsed="false">
      <c r="A14" s="8" t="n">
        <f aca="false">'Task Plan'!A15</f>
        <v>8</v>
      </c>
      <c r="B14" s="28" t="str">
        <f aca="false">'Task Plan'!B15&amp;" ["&amp;'Task Plan'!D15&amp;"]"</f>
        <v>Subject tagging (LLM) [Not started]</v>
      </c>
      <c r="C14" s="29" t="str">
        <f aca="false">'Task Plan'!C15</f>
        <v>Data pipeline</v>
      </c>
      <c r="AW14" s="30" t="n">
        <f aca="false">'Task Plan'!G15</f>
        <v>24</v>
      </c>
      <c r="AX14" s="30" t="n">
        <f aca="false">'Task Plan'!H15</f>
        <v>30</v>
      </c>
    </row>
    <row r="15" customFormat="false" ht="15" hidden="false" customHeight="true" outlineLevel="0" collapsed="false">
      <c r="A15" s="8" t="n">
        <f aca="false">'Task Plan'!A16</f>
        <v>9</v>
      </c>
      <c r="B15" s="28" t="str">
        <f aca="false">'Task Plan'!B16&amp;" ["&amp;'Task Plan'!D16&amp;"]"</f>
        <v>Briefing generation upgrade [Not started]</v>
      </c>
      <c r="C15" s="29" t="str">
        <f aca="false">'Task Plan'!C16</f>
        <v>Data pipeline</v>
      </c>
      <c r="AW15" s="30" t="n">
        <f aca="false">'Task Plan'!G16</f>
        <v>31</v>
      </c>
      <c r="AX15" s="30" t="n">
        <f aca="false">'Task Plan'!H16</f>
        <v>33</v>
      </c>
    </row>
    <row r="16" customFormat="false" ht="15" hidden="false" customHeight="true" outlineLevel="0" collapsed="false">
      <c r="A16" s="8" t="n">
        <f aca="false">'Task Plan'!A17</f>
        <v>10</v>
      </c>
      <c r="B16" s="28" t="str">
        <f aca="false">'Task Plan'!B17&amp;" ["&amp;'Task Plan'!D17&amp;"]"</f>
        <v>Frontend cutover to live API [Not started]</v>
      </c>
      <c r="C16" s="29" t="str">
        <f aca="false">'Task Plan'!C17</f>
        <v>Launch</v>
      </c>
      <c r="AW16" s="30" t="n">
        <f aca="false">'Task Plan'!G17</f>
        <v>34</v>
      </c>
      <c r="AX16" s="30" t="n">
        <f aca="false">'Task Plan'!H17</f>
        <v>43</v>
      </c>
    </row>
    <row r="19" customFormat="false" ht="15" hidden="false" customHeight="true" outlineLevel="0" collapsed="false">
      <c r="A19" s="4" t="s">
        <v>82</v>
      </c>
      <c r="B19" s="20" t="s">
        <v>20</v>
      </c>
      <c r="C19" s="21" t="s">
        <v>51</v>
      </c>
      <c r="D19" s="22" t="s">
        <v>44</v>
      </c>
      <c r="E19" s="23" t="s">
        <v>76</v>
      </c>
    </row>
  </sheetData>
  <mergeCells count="2">
    <mergeCell ref="A1:H1"/>
    <mergeCell ref="A2:H2"/>
  </mergeCells>
  <conditionalFormatting sqref="D7:AU16">
    <cfRule type="expression" priority="2" aboveAverage="0" equalAverage="0" bottom="0" percent="0" rank="0" text="" dxfId="0">
      <formula>AND(D$4&gt;=$AW7,D$4&lt;=$AX7,$C7="Foundation")</formula>
    </cfRule>
    <cfRule type="expression" priority="3" aboveAverage="0" equalAverage="0" bottom="0" percent="0" rank="0" text="" dxfId="1">
      <formula>AND(D$4&gt;=$AW7,D$4&lt;=$AX7,$C7="Data pipeline")</formula>
    </cfRule>
    <cfRule type="expression" priority="4" aboveAverage="0" equalAverage="0" bottom="0" percent="0" rank="0" text="" dxfId="2">
      <formula>AND(D$4&gt;=$AW7,D$4&lt;=$AX7,$C7="Backend/Frontend")</formula>
    </cfRule>
    <cfRule type="expression" priority="5" aboveAverage="0" equalAverage="0" bottom="0" percent="0" rank="0" text="" dxfId="3">
      <formula>AND(D$4&gt;=$AW7,D$4&lt;=$AX7,$C7="Launch")</formula>
    </cfRule>
  </conditionalFormatting>
  <conditionalFormatting sqref="D5:AU5">
    <cfRule type="expression" priority="6" aboveAverage="0" equalAverage="0" bottom="0" percent="0" rank="0" text="" dxfId="4">
      <formula>D5=TODAY()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2026-09-19T19:45:01Z</dcterms:created>
  <dc:creator>openpyxl</dc:creator>
  <dc:description/>
  <dc:language>en-US</dc:language>
  <cp:lastModifiedBy/>
  <dcterms:modified xsi:type="dcterms:W3CDTF">2026-09-19T22:53:05Z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