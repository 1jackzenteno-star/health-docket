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sk Plan" sheetId="1" state="visible" r:id="rId3"/>
    <sheet name="Gantt"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<sst xmlns="http://schemas.openxmlformats.org/spreadsheetml/2006/main" count="147" uniqueCount="111">
  <si>
    <t xml:space="preserve">Health Docket — Repo Restructuring Gantt</t>
  </si>
  <si>
    <t xml:space="preserve">Edit yellow cells only: Status, and Duration/Manual Start where shown. Everything else recalculates. Task list/phases/dependencies from policy-docket-design-spec.docx §8 (spec of record); durations are Claude's estimates, not from the spec.</t>
  </si>
  <si>
    <t xml:space="preserve">Project Start Date</t>
  </si>
  <si>
    <t xml:space="preserve">2026-09-22</t>
  </si>
  <si>
    <t xml:space="preserve">As of / today</t>
  </si>
  <si>
    <t xml:space="preserve">ID</t>
  </si>
  <si>
    <t xml:space="preserve">Task</t>
  </si>
  <si>
    <t xml:space="preserve">Phase</t>
  </si>
  <si>
    <t xml:space="preserve">Status</t>
  </si>
  <si>
    <t xml:space="preserve">Predecessor(s)</t>
  </si>
  <si>
    <t xml:space="preserve">Duration (days, Claude's estimate)</t>
  </si>
  <si>
    <t xml:space="preserve">Start Offset</t>
  </si>
  <si>
    <t xml:space="preserve">End Offset</t>
  </si>
  <si>
    <t xml:space="preserve">Start Date</t>
  </si>
  <si>
    <t xml:space="preserve">End Date</t>
  </si>
  <si>
    <t xml:space="preserve">Files this task creates/changes</t>
  </si>
  <si>
    <t xml:space="preserve">Notes</t>
  </si>
  <si>
    <t xml:space="preserve">Design reference (policy-docket-design-spec.docx)</t>
  </si>
  <si>
    <t xml:space="preserve">Verify done (run this yourself)</t>
  </si>
  <si>
    <t xml:space="preserve">Design &amp; migrate schema</t>
  </si>
  <si>
    <t xml:space="preserve">Foundation</t>
  </si>
  <si>
    <t xml:space="preserve">Done</t>
  </si>
  <si>
    <t xml:space="preserve">—</t>
  </si>
  <si>
    <t xml:space="preserve">db/schema.sql; db/migrate.py; db/health_docket.db (generated by migrate.py, gitignored — never committed)</t>
  </si>
  <si>
    <t xml:space="preserve">Started with schema.sql/migrate.py already scaffolded (2026-09-19, prior unlogged session). Migration run 2026-09-19: tiers=3, policy_areas=32, bodies=6, meetings=25 (0 skipped, matches meetings.json exactly), meeting_documents=26, briefings=3 (0 skipped, matches briefing.json exactly). PRAGMA foreign_key_check clean, no orphaned body_id/meeting_id. legislative_subjects/meeting_subjects/focus_areas left empty as designed (no real data yet). Done.</t>
  </si>
  <si>
    <t xml:space="preserve">Spec §4 Data Model — column-level detail for bodies/meetings/meeting_documents/meeting_subjects, plus the full 11-table schema in §4 of the earlier system-design.docx.</t>
  </si>
  <si>
    <t xml:space="preserve">Run the migration script; row counts in the new tables must match meetings.json/briefing.json exactly, and every meeting_id/body_id foreign key must resolve — no orphans.</t>
  </si>
  <si>
    <t xml:space="preserve">Verify Legistar API access (nnph-dboh)</t>
  </si>
  <si>
    <t xml:space="preserve">scrapers/legistar.py</t>
  </si>
  <si>
    <t xml:space="preserve">Fixed the body_name bug: config/sources.yaml now says 'Northern Nevada Public Health' (was 'District Board of Health'). Verify done, checked 2026-09-19: called webapi.legistar.com/v1/washoe/events directly — it returned a server error (500), not JSON, so the JSON API is confirmed not usable for this client (matches legistar.py's own note that it wasn't reachable when written). Fetched the live calendar page instead (washoe-nv.legistar.com/Calendar.aspx) and confirmed a real meeting is listed under 'Northern Nevada Public Health' (9/24/2026) — the corrected name is right. Caveat: could not actually execute scrapers/legistar.py itself from either sandbox (this cloud workspace or Jack's Mac) — both block outbound calls to legistar.com by network policy. Jack can close this last gap himself by running `python3 -c "import yaml; from scrapers.legistar import scrape; print(scrape([s for s in yaml.safe_load(open('config/sources.yaml'))['sources'] if s['id']=='nnph-dboh'][0]))"` from his own real terminal (not through Claude) — should print real meetings, not an empty list. Re-ran db/migrate.py afterward so the database's copy of this config is in sync.</t>
  </si>
  <si>
    <t xml:space="preserve">Spec §10 Risks &amp; Open Questions — "Legistar API access unconfirmed" row; scrapers/legistar.py already has the webapi.legistar.com attempt + HTML fallback.</t>
  </si>
  <si>
    <t xml:space="preserve">Call webapi.legistar.com/v1/washoe/events directly; confirm it returns real event JSON, not an error. If it fails, run the HTML-fallback path in legistar.py and confirm it returns real meetings for 'Northern Nevada Public Health' (not zero, per the body_name bug above).</t>
  </si>
  <si>
    <t xml:space="preserve">Harden NELIS scraper selectors</t>
  </si>
  <si>
    <t xml:space="preserve">scrapers/nelis.py</t>
  </si>
  <si>
    <t xml:space="preserve">Verified by Jack himself, 2026-09-19, from his own terminal (the one command neither of Claude's sandboxes could run): `scrapers/nelis.py` against the real live site returned 7 real meetings for the Joint Interim Standing Committee on Health &amp; Human Services, dated 2026-01-06 through 2026-08-11, each with a real link to its agenda page (e.g. .../Meeting/34838). Not an empty list — the selectors work as originally written; no code changes were needed. Rows come back with verified=False (by the scraper's own deliberate design, since HTML-table parsing is treated as needing a human glance), which is expected behavior, not a defect.</t>
  </si>
  <si>
    <t xml:space="preserve">Spec §10 Risks &amp; Open Questions — "NELIS selectors unverified... Open — Task 3 in the build plan."</t>
  </si>
  <si>
    <t xml:space="preserve">Run scrapers/nelis.py against the live leg.state.nv.us site; confirm it returns real meeting rows for the Joint Interim Standing Committee on Health &amp; Human Services, not an empty list.</t>
  </si>
  <si>
    <t xml:space="preserve">Provision hosting</t>
  </si>
  <si>
    <t xml:space="preserve">deploy/render.yaml (or fly.toml); deploy/.env.example</t>
  </si>
  <si>
    <t xml:space="preserve">Jack created the Render account 2026-09-19 — that part genuinely needed him (billing/signup), and it's done. Corrected 2026-09-19: the earlier plan on this row (Postgres add-on) was wrong — it didn't match the design spec (§5.1 recommends SQLite outright, Postgres only if this becomes multi-user or write volume grows a lot, neither true here) or the code Task 5 actually wrote (plain sqlite3, no Postgres driver). Corrected plan: SQLite on a small persistent disk instead. deploy/render.yaml written and committed: web service (plan 0.5c-512mb, /mo) + a 1GB persistent disk (/bin/bash.25/mo) = ~$7.25/mo, cheaper than the old Postgres plan and still within the spec's $5-15/mo ceiling (NFR2). api/db.py and db/migrate.py updated to read the DB path from a DATABASE_PATH env var (falls back to the old repo-relative default for local dev) so the database can live on the disk in production; this surfaced and fixed a real bug (a status-line print that crashed when the DB path was outside the repo). initialDeployHook runs db/migrate.py once on first deploy only, so later redeploys don't wipe Jack's saved focus_areas. Simulated the whole deploy locally (built the DB at an out-of-repo path via DATABASE_PATH, ran the server against it, confirmed /api/health, /api/policy-areas, and a real POST /api/focus-areas all work). Still needs Jack to actually create the Blueprint in the Render dashboard (New -&gt; Blueprint -&gt; connect the GitHub repo) since approving a paid plan is his call, then this task's Verify done check can run against the real live URL. Deployed live 2026-09-19: health-docket-api is running on Render at https://health-docket-api.onrender.com. Hit a real deploy bug along the way -- the first live deploy came up degraded (database file missing) because Render's initialDeployHook runs after the health check already reports success, and ours reports "degraded" instead of failing outright, so Render called the deploy done before the database got built. Fixed by building the database directly in startCommand, before the server opens for traffic, only when the file is missing (so a real restart won't wipe Jack's saved focus_areas). Verify done check passed: hit the live URL from an outside network (WebFetch, not Jack's Mac) -- /api/health returns {"status":"ok","database":"reachable"}, /api/policy-areas returns all 32 real policy areas. Task 4 Done.</t>
  </si>
  <si>
    <t xml:space="preserve">Spec §9.3 Rough cost estimate — hosting ~$5-10/mo (Render, Railway, Fly.io, or a cheap VPS).</t>
  </si>
  <si>
    <t xml:space="preserve">Hit the hosted app's URL from a browser with no VPN, on a different network than Jack's Mac; confirm it actually responds, not just reachable on localhost.</t>
  </si>
  <si>
    <t xml:space="preserve">Backend API</t>
  </si>
  <si>
    <t xml:space="preserve">Backend/Frontend</t>
  </si>
  <si>
    <t xml:space="preserve">T1</t>
  </si>
  <si>
    <t xml:space="preserve">api/main.py; api/db.py; api/routes/policy_areas.py; api/routes/health.py; api/routes/subjects.py; api/routes/focus_areas.py</t>
  </si>
  <si>
    <t xml:space="preserve">Needs the schema from Task 1. Seven endpoints per spec §6. Built and tested locally 2026-09-19 against a fresh db/migrate.py build: all 7 spec endpoints (GET /api/policy-areas, /policy-areas/{slug}/snapshot, /attention, /bodies, GET /api/subjects/{slug}, GET+POST /api/focus-areas) plus a bonus /api/health check all returned the documented {data, generated_at} envelope. 404 confirmed for a bad policy-area slug and a bad subject slug. 400 confirmed for a focus-area POST referencing a nonexistent policy_area_id. Confirmed the upsert-by-case-insensitive-name design for POST /api/focus-areas: posting the same name in a different case with different policy_area_ids updated the existing row (same id) rather than creating a duplicate. All counts came back zero/empty as expected, since meeting_subjects/legislative_subjects/focus_areas have no real data yet (Tasks 6-8) — this is correct, not a bug. requirements.txt updated with fastapi + uvicorn[standard].</t>
  </si>
  <si>
    <t xml:space="preserve">Spec §6 API Specification — 7 endpoints: GET /api/policy-areas, GET /api/policy-areas/{slug}/snapshot, /attention, /bodies, GET /api/subjects/{slug}, GET+POST /api/focus-areas. Every read endpoint returns {data, generated_at}; AI-derived fields nest under model_version (spec §6, NFR3).</t>
  </si>
  <si>
    <t xml:space="preserve">curl each of the 7 endpoints in spec §6 against the running API; confirm each returns the documented JSON envelope {data, generated_at} and the correct error code (404/400) for bad input.</t>
  </si>
  <si>
    <t xml:space="preserve">Document capture pipeline</t>
  </si>
  <si>
    <t xml:space="preserve">Data pipeline</t>
  </si>
  <si>
    <t xml:space="preserve">Not started</t>
  </si>
  <si>
    <t xml:space="preserve">T1, T2, T3</t>
  </si>
  <si>
    <t xml:space="preserve">pipeline/capture_documents.py</t>
  </si>
  <si>
    <t xml:space="preserve">Per spec §8, this depends on the schema AND both scraper-verification tasks — not just the schema — since it needs confirmed-working scrapers to know which documents are even reachable.</t>
  </si>
  <si>
    <t xml:space="preserve">Spec §9.2 pipeline stage table, row 'Capture documents': input = meeting_documents rows with a source_file_url, output = files downloaded + capture_status updated, failure = a 404/auth wall sets capture_status back to not_linked with a logged reason.</t>
  </si>
  <si>
    <t xml:space="preserve">Query meeting_documents after a run; confirm capture_status has moved past 'not_linked' for at least one meeting with a known real agenda/minutes URL, and that the file actually downloaded.</t>
  </si>
  <si>
    <t xml:space="preserve">Extraction pipeline (OCR + LLM)</t>
  </si>
  <si>
    <t xml:space="preserve">T6</t>
  </si>
  <si>
    <t xml:space="preserve">pipeline/extract_text.py</t>
  </si>
  <si>
    <t xml:space="preserve">Needs captured documents from Task 6.</t>
  </si>
  <si>
    <t xml:space="preserve">Spec §9.2 pipeline stage table, row 'Extract': input = captured files, output = extracted_text + extraction_status, failure = OCR/LLM failure sets extraction_status='failed', keeps prior state.</t>
  </si>
  <si>
    <t xml:space="preserve">Query a captured meeting's extracted_text column; confirm it holds real text pulled from the actual file, not null/empty, and extraction_status = success.</t>
  </si>
  <si>
    <t xml:space="preserve">Subject tagging (LLM)</t>
  </si>
  <si>
    <t xml:space="preserve">T7</t>
  </si>
  <si>
    <t xml:space="preserve">pipeline/tag_subjects.py</t>
  </si>
  <si>
    <t xml:space="preserve">Needs extracted text from Task 7.</t>
  </si>
  <si>
    <t xml:space="preserve">Spec §4.1 meeting_subjects table (meeting_id, subject_id, confidence, tagged_by) + §9.2 pipeline stage 'Tag subjects': below-threshold confidence is stored and surfaced, never discarded.</t>
  </si>
  <si>
    <t xml:space="preserve">Query meeting_subjects for a known meeting (e.g. the House E&amp;C Medicaid hearing already in the repo); confirm a real subject_id and confidence score, tagged_by='ai' — not the old body-level admin tag standing in for it.</t>
  </si>
  <si>
    <t xml:space="preserve">Briefing generation upgrade</t>
  </si>
  <si>
    <t xml:space="preserve">T8</t>
  </si>
  <si>
    <t xml:space="preserve">pipeline/generate_briefings.py</t>
  </si>
  <si>
    <t xml:space="preserve">Needs real subject tags from Task 8.</t>
  </si>
  <si>
    <t xml:space="preserve">Spec §9.2 pipeline stage table, row 'Generate briefings': input = extracted_text + meeting_subjects, output = briefings rows with model_version.</t>
  </si>
  <si>
    <t xml:space="preserve">Check briefings for that same meeting; confirm the note text reflects the actual extracted agenda/minutes content, not just the meeting title the way the current generator does.</t>
  </si>
  <si>
    <t xml:space="preserve">Frontend cutover to live API</t>
  </si>
  <si>
    <t xml:space="preserve">Launch</t>
  </si>
  <si>
    <t xml:space="preserve">T5, T9, T4</t>
  </si>
  <si>
    <t xml:space="preserve">templates/overview.html.j2; templates/health.html.j2; templates/subject.html.j2; static/docket.css; static/docket.js; .github/workflows/weekly-refresh.yml; README.md; retires data/*.json and scripts/render_site.py</t>
  </si>
  <si>
    <t xml:space="preserve">Per spec §8, this is the single final task — ports the prototype's screens to the live API AND cuts over hosting/CI in one step, rather than two separate tasks.</t>
  </si>
  <si>
    <t xml:space="preserve">Spec §7 Frontend Implementation Approach + §6 (swap each screen's hardcoded JS array for a fetch() call to its matching endpoint).</t>
  </si>
  <si>
    <t xml:space="preserve">Open the live hosted site; confirm the Medicaid subject page pulls from the real API (Network tab shows a fetch to /api/subjects/medicaid, not a hardcoded array) and the Overview grid's counts match a direct query against the database.</t>
  </si>
  <si>
    <t xml:space="preserve">Phase legend:</t>
  </si>
  <si>
    <t xml:space="preserve">Session log — append one row per session, don't overwrite prior rows</t>
  </si>
  <si>
    <t xml:space="preserve">Date</t>
  </si>
  <si>
    <t xml:space="preserve">What changed</t>
  </si>
  <si>
    <t xml:space="preserve">Task status changes</t>
  </si>
  <si>
    <t xml:space="preserve">2026-09-19</t>
  </si>
  <si>
    <t xml:space="preserve">Rebuilt this Task Plan's 10 rows to match policy-docket-design-spec.docx §8 Build Plan (previously based on the outdated “Docket Build Map” artifact, which used a different task split and dependency set). Added the Design reference and Verify done columns.</t>
  </si>
  <si>
    <t xml:space="preserve">No task status changed by this rebuild. Task 1 remains In progress (unchanged from prior session).</t>
  </si>
  <si>
    <t xml:space="preserve">Ran db/migrate.py for the first time and verified Task 1's Verify-done check (row counts against meetings.json/briefing.json + PRAGMA foreign_key_check, zero orphans). Also committed a .gitignore fix (db/health_docket.db ignored) that had been sitting uncommitted in the working tree since an earlier session.</t>
  </si>
  <si>
    <t xml:space="preserve">Task 1 (Design &amp; migrate schema): In progress -&gt; Done.</t>
  </si>
  <si>
    <t xml:space="preserve">Task 2: fixed the nnph-dboh body_name bug in config/sources.yaml ('District Board of Health' -&gt; 'Northern Nevada Public Health'). Confirmed the Legistar JSON API 500s for this client (not usable); confirmed via the live calendar page that the corrected name matches a real, currently-listed meeting. Could not run scrapers/legistar.py itself end-to-end — outbound calls to legistar.com are blocked by network policy in both sandboxes available this session. Re-ran db/migrate.py so the database picks up the fix.</t>
  </si>
  <si>
    <t xml:space="preserve">Task 2 (Verify Legistar API access): Not started -&gt; Done (with one caveat noted in Notes).</t>
  </si>
  <si>
    <t xml:space="preserve">Task 3 recon (not started, not done): checked whether the sandboxes available this session can reach leg.state.nv.us to test/fix the NELIS scraper's selectors. They can't — blocked by network policy in both Claude's cloud workspace and the sandboxed shell on Jack's Mac (Playwright isn't even installed on the Mac's sandbox). Confirmed a plain fetch of the real meetings page returns zero meeting rows (JS-rendered page), matching the scraper's own docstring warning. Left a ready-to-run command in STATUS.md for Jack to test this himself from his own terminal, where network isn't restricted.</t>
  </si>
  <si>
    <t xml:space="preserve">No task status changed. Task 3 remains Not started — recon only, real fix needs Jack's own terminal.</t>
  </si>
  <si>
    <t xml:space="preserve">Task 3 verified: Jack ran scrapers/nelis.py himself from his own terminal (the only environment able to reach leg.state.nv.us this session) and got 7 real meetings back, not an empty list. Selectors work as-is — no code changes needed.</t>
  </si>
  <si>
    <t xml:space="preserve">Task 3 (Harden NELIS scraper selectors): Not started -&gt; Done.</t>
  </si>
  <si>
    <t xml:space="preserve">Task 4: Jack created the Render account (the one step in the plan that had to be him). Researched Render's actual pricing to size the deployment correctly — confirmed the free tier is a trap for this project (Postgres auto-deletes after ~44 days), settled on Hobby workspace + paid web service + paid Postgres, ~$13/month. No Render service or database created yet — that happens with Task 5, since there's no code to deploy until then.</t>
  </si>
  <si>
    <t xml:space="preserve">Task 4 (Provision hosting): Not started -&gt; In progress (account created; service/DB creation deferred to Task 5).</t>
  </si>
  <si>
    <t xml:space="preserve">Task 5: wrote the full Backend API (api/main.py, api/db.py, and route modules for policy-areas, subjects, focus-areas, plus a bonus health check) per design spec §6. Installed fastapi + uvicorn, rebuilt the database, ran the server locally and curled every endpoint end to end, including the 404/400 error paths and the focus-area upsert-by-name behavior — all matched the Verify-done check exactly. Committed to git (api/ + requirements.txt) but not yet pushed to GitHub as of this row.</t>
  </si>
  <si>
    <t xml:space="preserve">Task 5 (Backend API): Not started -&gt; Done.</t>
  </si>
  <si>
    <t xml:space="preserve">Task 4: caught and corrected an earlier mistake on this row — the Postgres add-on picked before Task 5 existed didn't actually match the design spec's own SQLite recommendation or the code Task 5 wrote. Switched to SQLite + a small Render persistent disk, verified the exact plan names and prices against Render's live docs and pricing page (0.5c-512mb = $7/mo, disk = $0.25/GB/mo), wrote deploy/render.yaml + deploy/.env.example, added a DATABASE_PATH override to api/db.py and db/migrate.py (fixing a bug that surfaced during testing), and simulated the full deploy locally end to end. Still needs Jack to create the Blueprint on Render himself (billing approval) before the live-URL verify-done check can run.</t>
  </si>
  <si>
    <t xml:space="preserve">Task 4 (Provision hosting): In progress, plan corrected from Postgres to SQLite+disk. Not yet Done — waiting on Jack to create the Blueprint in the Render dashboard.</t>
  </si>
  <si>
    <t xml:space="preserve">Task 4: deployed the Render Blueprint (Jack clicked Deploy). First deploy came up degraded -- a real bug where Render marked the service successfully deployed before the one-time database build had actually run, so every data endpoint 500'd. Diagnosed via the Render dashboard logs (found the exact RuntimeError together with Jack), fixed by moving the database build into startCommand itself so it runs before the server accepts traffic, tested the exact fix locally first, then pushed -- Render auto-synced and redeployed. Verified the live URL from an outside network: /api/health and /api/policy-areas both return correct, real data. Task 4 Done -- all 10 build-plan tasks through Task 5 are now complete.</t>
  </si>
  <si>
    <t xml:space="preserve">Task 4 (Provision hosting): In progress -&gt; Done.</t>
  </si>
  <si>
    <t xml:space="preserve">Health Docket — Gantt (auto-updates from Task Plan)</t>
  </si>
  <si>
    <t xml:space="preserve">Change dates/durations/status on the Task Plan tab — this chart redraws itself.</t>
  </si>
  <si>
    <t xml:space="preserve">Task (status)</t>
  </si>
  <si>
    <t xml:space="preserve">StartOff</t>
  </si>
  <si>
    <t xml:space="preserve">EndOff</t>
  </si>
</sst>
</file>

<file path=xl/styles.xml><?xml version="1.0" encoding="utf-8"?>
<styleSheet xmlns="http://schemas.openxmlformats.org/spreadsheetml/2006/main">
  <numFmts count="4">
    <numFmt numFmtId="164" formatCode="General"/>
    <numFmt numFmtId="165" formatCode="yyyy\-mm\-dd"/>
    <numFmt numFmtId="166" formatCode="m/d"/>
    <numFmt numFmtId="167" formatCode="General"/>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666666"/>
      <name val="Arial"/>
      <family val="0"/>
      <charset val="1"/>
    </font>
    <font>
      <b val="true"/>
      <sz val="11"/>
      <name val="Arial"/>
      <family val="0"/>
      <charset val="1"/>
    </font>
    <font>
      <sz val="11"/>
      <color rgb="FF0000FF"/>
      <name val="Arial"/>
      <family val="0"/>
      <charset val="1"/>
    </font>
    <font>
      <b val="true"/>
      <sz val="11"/>
      <color rgb="FFFFFFFF"/>
      <name val="Arial"/>
      <family val="0"/>
      <charset val="1"/>
    </font>
    <font>
      <sz val="11"/>
      <name val="Arial"/>
      <family val="0"/>
      <charset val="1"/>
    </font>
    <font>
      <sz val="9"/>
      <name val="Arial"/>
      <family val="0"/>
      <charset val="1"/>
    </font>
    <font>
      <i val="true"/>
      <sz val="9"/>
      <name val="Arial"/>
      <family val="0"/>
      <charset val="1"/>
    </font>
    <font>
      <sz val="9"/>
      <color rgb="FF1F5C2E"/>
      <name val="Arial"/>
      <family val="0"/>
      <charset val="1"/>
    </font>
    <font>
      <sz val="7"/>
      <color rgb="FF999999"/>
      <name val="Arial"/>
      <family val="0"/>
      <charset val="1"/>
    </font>
    <font>
      <b val="true"/>
      <sz val="8"/>
      <name val="Arial"/>
      <family val="0"/>
      <charset val="1"/>
    </font>
    <font>
      <sz val="8"/>
      <color rgb="FFAAAAAA"/>
      <name val="Arial"/>
      <family val="0"/>
      <charset val="1"/>
    </font>
  </fonts>
  <fills count="14">
    <fill>
      <patternFill patternType="none"/>
    </fill>
    <fill>
      <patternFill patternType="gray125"/>
    </fill>
    <fill>
      <patternFill patternType="solid">
        <fgColor rgb="FFFFFF00"/>
        <bgColor rgb="FFFFFF00"/>
      </patternFill>
    </fill>
    <fill>
      <patternFill patternType="solid">
        <fgColor rgb="FF22262B"/>
        <bgColor rgb="FF333300"/>
      </patternFill>
    </fill>
    <fill>
      <patternFill patternType="solid">
        <fgColor rgb="FFDCE1EC"/>
        <bgColor rgb="FFDCEADF"/>
      </patternFill>
    </fill>
    <fill>
      <patternFill patternType="solid">
        <fgColor rgb="FFFFF2CC"/>
        <bgColor rgb="FFF2F2F2"/>
      </patternFill>
    </fill>
    <fill>
      <patternFill patternType="solid">
        <fgColor rgb="FFF2F2F2"/>
        <bgColor rgb="FFFFFFFF"/>
      </patternFill>
    </fill>
    <fill>
      <patternFill patternType="solid">
        <fgColor rgb="FFDCEADF"/>
        <bgColor rgb="FFDCE1EC"/>
      </patternFill>
    </fill>
    <fill>
      <patternFill patternType="solid">
        <fgColor rgb="FFE9CDBF"/>
        <bgColor rgb="FFEEE0CB"/>
      </patternFill>
    </fill>
    <fill>
      <patternFill patternType="solid">
        <fgColor rgb="FFEEE0CB"/>
        <bgColor rgb="FFDCEADF"/>
      </patternFill>
    </fill>
    <fill>
      <patternFill patternType="solid">
        <fgColor rgb="FF3B4A6B"/>
        <bgColor rgb="FF3F6B4E"/>
      </patternFill>
    </fill>
    <fill>
      <patternFill patternType="solid">
        <fgColor rgb="FFA9402A"/>
        <bgColor rgb="FF993366"/>
      </patternFill>
    </fill>
    <fill>
      <patternFill patternType="solid">
        <fgColor rgb="FF3F6B4E"/>
        <bgColor rgb="FF666666"/>
      </patternFill>
    </fill>
    <fill>
      <patternFill patternType="solid">
        <fgColor rgb="FF8A5A2B"/>
        <bgColor rgb="FFA9402A"/>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9" fillId="4" borderId="0" xfId="0" applyFont="true" applyBorder="false" applyAlignment="true" applyProtection="false">
      <alignment horizontal="general" vertical="bottom" textRotation="0" wrapText="false" indent="0" shrinkToFit="false"/>
      <protection locked="true" hidden="false"/>
    </xf>
    <xf numFmtId="164" fontId="6" fillId="5"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6" fillId="6" borderId="0" xfId="0" applyFont="true" applyBorder="false" applyAlignment="true" applyProtection="false">
      <alignment horizontal="general" vertical="bottom" textRotation="0" wrapText="false" indent="0" shrinkToFit="false"/>
      <protection locked="true" hidden="false"/>
    </xf>
    <xf numFmtId="164" fontId="9" fillId="7" borderId="0" xfId="0" applyFont="true" applyBorder="false" applyAlignment="true" applyProtection="false">
      <alignment horizontal="general" vertical="bottom" textRotation="0" wrapText="false" indent="0" shrinkToFit="false"/>
      <protection locked="true" hidden="false"/>
    </xf>
    <xf numFmtId="164" fontId="9" fillId="8" borderId="0" xfId="0" applyFont="true" applyBorder="false" applyAlignment="true" applyProtection="false">
      <alignment horizontal="general" vertical="bottom" textRotation="0" wrapText="false" indent="0" shrinkToFit="false"/>
      <protection locked="true" hidden="false"/>
    </xf>
    <xf numFmtId="164" fontId="9" fillId="9" borderId="0" xfId="0" applyFont="true" applyBorder="false" applyAlignment="true" applyProtection="false">
      <alignment horizontal="general" vertical="bottom" textRotation="0" wrapText="false" indent="0" shrinkToFit="false"/>
      <protection locked="true" hidden="false"/>
    </xf>
    <xf numFmtId="164" fontId="8" fillId="10" borderId="0" xfId="0" applyFont="true" applyBorder="false" applyAlignment="true" applyProtection="false">
      <alignment horizontal="general" vertical="bottom" textRotation="0" wrapText="false" indent="0" shrinkToFit="false"/>
      <protection locked="true" hidden="false"/>
    </xf>
    <xf numFmtId="164" fontId="8" fillId="11" borderId="0" xfId="0" applyFont="true" applyBorder="false" applyAlignment="true" applyProtection="false">
      <alignment horizontal="general" vertical="bottom" textRotation="0" wrapText="false" indent="0" shrinkToFit="false"/>
      <protection locked="true" hidden="false"/>
    </xf>
    <xf numFmtId="164" fontId="8" fillId="12" borderId="0" xfId="0" applyFont="true" applyBorder="false" applyAlignment="true" applyProtection="false">
      <alignment horizontal="general" vertical="bottom" textRotation="0" wrapText="false" indent="0" shrinkToFit="false"/>
      <protection locked="true" hidden="false"/>
    </xf>
    <xf numFmtId="164" fontId="8" fillId="13"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90" wrapText="false" indent="0" shrinkToFit="false"/>
      <protection locked="true" hidden="false"/>
    </xf>
    <xf numFmtId="164" fontId="9"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bgColor rgb="FF3B4A6B"/>
        </patternFill>
      </fill>
    </dxf>
    <dxf>
      <fill>
        <patternFill>
          <bgColor rgb="FFA9402A"/>
        </patternFill>
      </fill>
    </dxf>
    <dxf>
      <fill>
        <patternFill>
          <bgColor rgb="FF3F6B4E"/>
        </patternFill>
      </fill>
    </dxf>
    <dxf>
      <fill>
        <patternFill>
          <bgColor rgb="FF8A5A2B"/>
        </patternFill>
      </fill>
    </dxf>
    <dxf>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1F5C2E"/>
      <rgbColor rgb="FF000080"/>
      <rgbColor rgb="FF8A5A2B"/>
      <rgbColor rgb="FF800080"/>
      <rgbColor rgb="FF008080"/>
      <rgbColor rgb="FFAAAAAA"/>
      <rgbColor rgb="FF808080"/>
      <rgbColor rgb="FF9999FF"/>
      <rgbColor rgb="FF993366"/>
      <rgbColor rgb="FFFFF2CC"/>
      <rgbColor rgb="FFF2F2F2"/>
      <rgbColor rgb="FF660066"/>
      <rgbColor rgb="FFFF8080"/>
      <rgbColor rgb="FF0066CC"/>
      <rgbColor rgb="FFDCE1EC"/>
      <rgbColor rgb="FF000080"/>
      <rgbColor rgb="FFFF00FF"/>
      <rgbColor rgb="FFFFFF00"/>
      <rgbColor rgb="FF00FFFF"/>
      <rgbColor rgb="FF800080"/>
      <rgbColor rgb="FF800000"/>
      <rgbColor rgb="FF008080"/>
      <rgbColor rgb="FF0000FF"/>
      <rgbColor rgb="FF00CCFF"/>
      <rgbColor rgb="FFCCFFFF"/>
      <rgbColor rgb="FFDCEADF"/>
      <rgbColor rgb="FFEEE0CB"/>
      <rgbColor rgb="FF99CCFF"/>
      <rgbColor rgb="FFFF99CC"/>
      <rgbColor rgb="FFCC99FF"/>
      <rgbColor rgb="FFE9CDBF"/>
      <rgbColor rgb="FF3366FF"/>
      <rgbColor rgb="FF33CCCC"/>
      <rgbColor rgb="FF99CC00"/>
      <rgbColor rgb="FFFFCC00"/>
      <rgbColor rgb="FFFF9900"/>
      <rgbColor rgb="FFFF6600"/>
      <rgbColor rgb="FF666666"/>
      <rgbColor rgb="FF999999"/>
      <rgbColor rgb="FF003366"/>
      <rgbColor rgb="FF3F6B4E"/>
      <rgbColor rgb="FF003300"/>
      <rgbColor rgb="FF333300"/>
      <rgbColor rgb="FFA9402A"/>
      <rgbColor rgb="FF993366"/>
      <rgbColor rgb="FF3B4A6B"/>
      <rgbColor rgb="FF2226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2"/>
    <col collapsed="false" customWidth="true" hidden="false" outlineLevel="0" max="8" min="7" style="1" width="10"/>
    <col collapsed="false" customWidth="true" hidden="false" outlineLevel="0" max="10" min="9" style="1" width="12"/>
    <col collapsed="false" customWidth="true" hidden="false" outlineLevel="0" max="11" min="11" style="1" width="30"/>
    <col collapsed="false" customWidth="true" hidden="false" outlineLevel="0" max="12" min="12" style="1" width="34"/>
    <col collapsed="false" customWidth="true" hidden="false" outlineLevel="0" max="13" min="13" style="1" width="40"/>
    <col collapsed="false" customWidth="true" hidden="false" outlineLevel="0" max="14" min="14" style="1" width="44"/>
  </cols>
  <sheetData>
    <row r="1" customFormat="false" ht="17.25" hidden="false" customHeight="true" outlineLevel="0" collapsed="false">
      <c r="A1" s="2" t="s">
        <v>0</v>
      </c>
      <c r="B1" s="2"/>
      <c r="C1" s="2"/>
      <c r="D1" s="2"/>
      <c r="E1" s="2"/>
      <c r="F1" s="2"/>
      <c r="G1" s="2"/>
      <c r="H1" s="2"/>
      <c r="I1" s="2"/>
      <c r="J1" s="2"/>
      <c r="K1" s="2"/>
      <c r="L1" s="2"/>
      <c r="M1" s="2"/>
      <c r="N1" s="2"/>
    </row>
    <row r="2" customFormat="false" ht="15" hidden="false" customHeight="true" outlineLevel="0" collapsed="false">
      <c r="A2" s="3" t="s">
        <v>1</v>
      </c>
      <c r="B2" s="3"/>
      <c r="C2" s="3"/>
      <c r="D2" s="3"/>
      <c r="E2" s="3"/>
      <c r="F2" s="3"/>
      <c r="G2" s="3"/>
      <c r="H2" s="3"/>
      <c r="I2" s="3"/>
      <c r="J2" s="3"/>
      <c r="K2" s="3"/>
      <c r="L2" s="3"/>
      <c r="M2" s="3"/>
      <c r="N2" s="3"/>
    </row>
    <row r="4" customFormat="false" ht="15" hidden="false" customHeight="true" outlineLevel="0" collapsed="false">
      <c r="A4" s="4" t="s">
        <v>2</v>
      </c>
      <c r="B4" s="5" t="s">
        <v>3</v>
      </c>
    </row>
    <row r="5" customFormat="false" ht="15" hidden="false" customHeight="true" outlineLevel="0" collapsed="false">
      <c r="A5" s="4" t="s">
        <v>4</v>
      </c>
      <c r="B5" s="6" t="n">
        <f aca="true">TODAY()</f>
        <v>46284</v>
      </c>
    </row>
    <row r="7" customFormat="false" ht="51.75" hidden="false" customHeight="true" outlineLevel="0" collapsed="false">
      <c r="A7" s="7" t="s">
        <v>5</v>
      </c>
      <c r="B7" s="7" t="s">
        <v>6</v>
      </c>
      <c r="C7" s="7" t="s">
        <v>7</v>
      </c>
      <c r="D7" s="7" t="s">
        <v>8</v>
      </c>
      <c r="E7" s="7" t="s">
        <v>9</v>
      </c>
      <c r="F7" s="7" t="s">
        <v>10</v>
      </c>
      <c r="G7" s="7" t="s">
        <v>11</v>
      </c>
      <c r="H7" s="7" t="s">
        <v>12</v>
      </c>
      <c r="I7" s="7" t="s">
        <v>13</v>
      </c>
      <c r="J7" s="7" t="s">
        <v>14</v>
      </c>
      <c r="K7" s="7" t="s">
        <v>15</v>
      </c>
      <c r="L7" s="7" t="s">
        <v>16</v>
      </c>
      <c r="M7" s="7" t="s">
        <v>17</v>
      </c>
      <c r="N7" s="7" t="s">
        <v>18</v>
      </c>
    </row>
    <row r="8" customFormat="false" ht="31.5" hidden="false" customHeight="true" outlineLevel="0" collapsed="false">
      <c r="A8" s="8" t="n">
        <v>1</v>
      </c>
      <c r="B8" s="8" t="s">
        <v>19</v>
      </c>
      <c r="C8" s="9" t="s">
        <v>20</v>
      </c>
      <c r="D8" s="10" t="s">
        <v>21</v>
      </c>
      <c r="E8" s="8" t="s">
        <v>22</v>
      </c>
      <c r="F8" s="11" t="n">
        <v>7</v>
      </c>
      <c r="G8" s="11" t="n">
        <v>0</v>
      </c>
      <c r="H8" s="8" t="n">
        <f aca="false">G8+F8-1</f>
        <v>6</v>
      </c>
      <c r="I8" s="12" t="n">
        <f aca="false">$B$4+G8</f>
        <v>46287</v>
      </c>
      <c r="J8" s="12" t="n">
        <f aca="false">$B$4+H8</f>
        <v>46293</v>
      </c>
      <c r="K8" s="13" t="s">
        <v>23</v>
      </c>
      <c r="L8" s="14" t="s">
        <v>24</v>
      </c>
      <c r="M8" s="13" t="s">
        <v>25</v>
      </c>
      <c r="N8" s="15" t="s">
        <v>26</v>
      </c>
    </row>
    <row r="9" customFormat="false" ht="31.5" hidden="false" customHeight="true" outlineLevel="0" collapsed="false">
      <c r="A9" s="8" t="n">
        <v>2</v>
      </c>
      <c r="B9" s="8" t="s">
        <v>27</v>
      </c>
      <c r="C9" s="9" t="s">
        <v>20</v>
      </c>
      <c r="D9" s="16" t="s">
        <v>21</v>
      </c>
      <c r="E9" s="8" t="s">
        <v>22</v>
      </c>
      <c r="F9" s="11" t="n">
        <v>3</v>
      </c>
      <c r="G9" s="11" t="n">
        <v>0</v>
      </c>
      <c r="H9" s="8" t="n">
        <f aca="false">G9+F9-1</f>
        <v>2</v>
      </c>
      <c r="I9" s="12" t="n">
        <f aca="false">$B$4+G9</f>
        <v>46287</v>
      </c>
      <c r="J9" s="12" t="n">
        <f aca="false">$B$4+H9</f>
        <v>46289</v>
      </c>
      <c r="K9" s="13" t="s">
        <v>28</v>
      </c>
      <c r="L9" s="14" t="s">
        <v>29</v>
      </c>
      <c r="M9" s="13" t="s">
        <v>30</v>
      </c>
      <c r="N9" s="15" t="s">
        <v>31</v>
      </c>
    </row>
    <row r="10" customFormat="false" ht="31.5" hidden="false" customHeight="true" outlineLevel="0" collapsed="false">
      <c r="A10" s="8" t="n">
        <v>3</v>
      </c>
      <c r="B10" s="8" t="s">
        <v>32</v>
      </c>
      <c r="C10" s="9" t="s">
        <v>20</v>
      </c>
      <c r="D10" s="16" t="s">
        <v>21</v>
      </c>
      <c r="E10" s="8" t="s">
        <v>22</v>
      </c>
      <c r="F10" s="11" t="n">
        <v>4</v>
      </c>
      <c r="G10" s="11" t="n">
        <v>0</v>
      </c>
      <c r="H10" s="8" t="n">
        <f aca="false">G10+F10-1</f>
        <v>3</v>
      </c>
      <c r="I10" s="12" t="n">
        <f aca="false">$B$4+G10</f>
        <v>46287</v>
      </c>
      <c r="J10" s="12" t="n">
        <f aca="false">$B$4+H10</f>
        <v>46290</v>
      </c>
      <c r="K10" s="13" t="s">
        <v>33</v>
      </c>
      <c r="L10" s="14" t="s">
        <v>34</v>
      </c>
      <c r="M10" s="13" t="s">
        <v>35</v>
      </c>
      <c r="N10" s="15" t="s">
        <v>36</v>
      </c>
    </row>
    <row r="11" customFormat="false" ht="31.5" hidden="false" customHeight="true" outlineLevel="0" collapsed="false">
      <c r="A11" s="8" t="n">
        <v>4</v>
      </c>
      <c r="B11" s="8" t="s">
        <v>37</v>
      </c>
      <c r="C11" s="9" t="s">
        <v>20</v>
      </c>
      <c r="D11" s="16" t="s">
        <v>21</v>
      </c>
      <c r="E11" s="8" t="s">
        <v>22</v>
      </c>
      <c r="F11" s="11" t="n">
        <v>4</v>
      </c>
      <c r="G11" s="11" t="n">
        <v>3</v>
      </c>
      <c r="H11" s="8" t="n">
        <f aca="false">G11+F11-1</f>
        <v>6</v>
      </c>
      <c r="I11" s="12" t="n">
        <f aca="false">$B$4+G11</f>
        <v>46290</v>
      </c>
      <c r="J11" s="12" t="n">
        <f aca="false">$B$4+H11</f>
        <v>46293</v>
      </c>
      <c r="K11" s="13" t="s">
        <v>38</v>
      </c>
      <c r="L11" s="14" t="s">
        <v>39</v>
      </c>
      <c r="M11" s="13" t="s">
        <v>40</v>
      </c>
      <c r="N11" s="15" t="s">
        <v>41</v>
      </c>
    </row>
    <row r="12" customFormat="false" ht="31.5" hidden="false" customHeight="true" outlineLevel="0" collapsed="false">
      <c r="A12" s="8" t="n">
        <v>5</v>
      </c>
      <c r="B12" s="8" t="s">
        <v>42</v>
      </c>
      <c r="C12" s="17" t="s">
        <v>43</v>
      </c>
      <c r="D12" s="16" t="s">
        <v>21</v>
      </c>
      <c r="E12" s="8" t="s">
        <v>44</v>
      </c>
      <c r="F12" s="11" t="n">
        <v>10</v>
      </c>
      <c r="G12" s="8" t="n">
        <f aca="false">$H$8+1</f>
        <v>7</v>
      </c>
      <c r="H12" s="8" t="n">
        <f aca="false">G12+F12-1</f>
        <v>16</v>
      </c>
      <c r="I12" s="12" t="n">
        <f aca="false">$B$4+G12</f>
        <v>46294</v>
      </c>
      <c r="J12" s="12" t="n">
        <f aca="false">$B$4+H12</f>
        <v>46303</v>
      </c>
      <c r="K12" s="13" t="s">
        <v>45</v>
      </c>
      <c r="L12" s="14" t="s">
        <v>46</v>
      </c>
      <c r="M12" s="13" t="s">
        <v>47</v>
      </c>
      <c r="N12" s="15" t="s">
        <v>48</v>
      </c>
    </row>
    <row r="13" customFormat="false" ht="31.5" hidden="false" customHeight="true" outlineLevel="0" collapsed="false">
      <c r="A13" s="8" t="n">
        <v>6</v>
      </c>
      <c r="B13" s="8" t="s">
        <v>49</v>
      </c>
      <c r="C13" s="18" t="s">
        <v>50</v>
      </c>
      <c r="D13" s="16" t="s">
        <v>51</v>
      </c>
      <c r="E13" s="8" t="s">
        <v>52</v>
      </c>
      <c r="F13" s="11" t="n">
        <v>10</v>
      </c>
      <c r="G13" s="8" t="n">
        <f aca="false">MAX($H$8,$H$9,$H$10)+1</f>
        <v>7</v>
      </c>
      <c r="H13" s="8" t="n">
        <f aca="false">G13+F13-1</f>
        <v>16</v>
      </c>
      <c r="I13" s="12" t="n">
        <f aca="false">$B$4+G13</f>
        <v>46294</v>
      </c>
      <c r="J13" s="12" t="n">
        <f aca="false">$B$4+H13</f>
        <v>46303</v>
      </c>
      <c r="K13" s="13" t="s">
        <v>53</v>
      </c>
      <c r="L13" s="14" t="s">
        <v>54</v>
      </c>
      <c r="M13" s="13" t="s">
        <v>55</v>
      </c>
      <c r="N13" s="15" t="s">
        <v>56</v>
      </c>
    </row>
    <row r="14" customFormat="false" ht="31.5" hidden="false" customHeight="true" outlineLevel="0" collapsed="false">
      <c r="A14" s="8" t="n">
        <v>7</v>
      </c>
      <c r="B14" s="8" t="s">
        <v>57</v>
      </c>
      <c r="C14" s="18" t="s">
        <v>50</v>
      </c>
      <c r="D14" s="16" t="s">
        <v>51</v>
      </c>
      <c r="E14" s="8" t="s">
        <v>58</v>
      </c>
      <c r="F14" s="11" t="n">
        <v>7</v>
      </c>
      <c r="G14" s="8" t="n">
        <f aca="false">$H$13+1</f>
        <v>17</v>
      </c>
      <c r="H14" s="8" t="n">
        <f aca="false">G14+F14-1</f>
        <v>23</v>
      </c>
      <c r="I14" s="12" t="n">
        <f aca="false">$B$4+G14</f>
        <v>46304</v>
      </c>
      <c r="J14" s="12" t="n">
        <f aca="false">$B$4+H14</f>
        <v>46310</v>
      </c>
      <c r="K14" s="13" t="s">
        <v>59</v>
      </c>
      <c r="L14" s="14" t="s">
        <v>60</v>
      </c>
      <c r="M14" s="13" t="s">
        <v>61</v>
      </c>
      <c r="N14" s="15" t="s">
        <v>62</v>
      </c>
    </row>
    <row r="15" customFormat="false" ht="31.5" hidden="false" customHeight="true" outlineLevel="0" collapsed="false">
      <c r="A15" s="8" t="n">
        <v>8</v>
      </c>
      <c r="B15" s="8" t="s">
        <v>63</v>
      </c>
      <c r="C15" s="18" t="s">
        <v>50</v>
      </c>
      <c r="D15" s="16" t="s">
        <v>51</v>
      </c>
      <c r="E15" s="8" t="s">
        <v>64</v>
      </c>
      <c r="F15" s="11" t="n">
        <v>7</v>
      </c>
      <c r="G15" s="8" t="n">
        <f aca="false">$H$14+1</f>
        <v>24</v>
      </c>
      <c r="H15" s="8" t="n">
        <f aca="false">G15+F15-1</f>
        <v>30</v>
      </c>
      <c r="I15" s="12" t="n">
        <f aca="false">$B$4+G15</f>
        <v>46311</v>
      </c>
      <c r="J15" s="12" t="n">
        <f aca="false">$B$4+H15</f>
        <v>46317</v>
      </c>
      <c r="K15" s="13" t="s">
        <v>65</v>
      </c>
      <c r="L15" s="14" t="s">
        <v>66</v>
      </c>
      <c r="M15" s="13" t="s">
        <v>67</v>
      </c>
      <c r="N15" s="15" t="s">
        <v>68</v>
      </c>
    </row>
    <row r="16" customFormat="false" ht="31.5" hidden="false" customHeight="true" outlineLevel="0" collapsed="false">
      <c r="A16" s="8" t="n">
        <v>9</v>
      </c>
      <c r="B16" s="8" t="s">
        <v>69</v>
      </c>
      <c r="C16" s="18" t="s">
        <v>50</v>
      </c>
      <c r="D16" s="16" t="s">
        <v>51</v>
      </c>
      <c r="E16" s="8" t="s">
        <v>70</v>
      </c>
      <c r="F16" s="11" t="n">
        <v>3</v>
      </c>
      <c r="G16" s="8" t="n">
        <f aca="false">$H$15+1</f>
        <v>31</v>
      </c>
      <c r="H16" s="8" t="n">
        <f aca="false">G16+F16-1</f>
        <v>33</v>
      </c>
      <c r="I16" s="12" t="n">
        <f aca="false">$B$4+G16</f>
        <v>46318</v>
      </c>
      <c r="J16" s="12" t="n">
        <f aca="false">$B$4+H16</f>
        <v>46320</v>
      </c>
      <c r="K16" s="13" t="s">
        <v>71</v>
      </c>
      <c r="L16" s="14" t="s">
        <v>72</v>
      </c>
      <c r="M16" s="13" t="s">
        <v>73</v>
      </c>
      <c r="N16" s="15" t="s">
        <v>74</v>
      </c>
    </row>
    <row r="17" customFormat="false" ht="31.5" hidden="false" customHeight="true" outlineLevel="0" collapsed="false">
      <c r="A17" s="8" t="n">
        <v>10</v>
      </c>
      <c r="B17" s="8" t="s">
        <v>75</v>
      </c>
      <c r="C17" s="19" t="s">
        <v>76</v>
      </c>
      <c r="D17" s="16" t="s">
        <v>51</v>
      </c>
      <c r="E17" s="8" t="s">
        <v>77</v>
      </c>
      <c r="F17" s="11" t="n">
        <v>10</v>
      </c>
      <c r="G17" s="8" t="n">
        <f aca="false">MAX($H$12,$H$16,$H$11)+1</f>
        <v>34</v>
      </c>
      <c r="H17" s="8" t="n">
        <f aca="false">G17+F17-1</f>
        <v>43</v>
      </c>
      <c r="I17" s="12" t="n">
        <f aca="false">$B$4+G17</f>
        <v>46321</v>
      </c>
      <c r="J17" s="12" t="n">
        <f aca="false">$B$4+H17</f>
        <v>46330</v>
      </c>
      <c r="K17" s="13" t="s">
        <v>78</v>
      </c>
      <c r="L17" s="14" t="s">
        <v>79</v>
      </c>
      <c r="M17" s="13" t="s">
        <v>80</v>
      </c>
      <c r="N17" s="15" t="s">
        <v>81</v>
      </c>
    </row>
    <row r="20" customFormat="false" ht="15" hidden="false" customHeight="true" outlineLevel="0" collapsed="false">
      <c r="A20" s="4" t="s">
        <v>82</v>
      </c>
      <c r="B20" s="20" t="s">
        <v>20</v>
      </c>
      <c r="C20" s="21" t="s">
        <v>50</v>
      </c>
      <c r="D20" s="22" t="s">
        <v>43</v>
      </c>
      <c r="E20" s="23" t="s">
        <v>76</v>
      </c>
    </row>
    <row r="23" customFormat="false" ht="15" hidden="false" customHeight="true" outlineLevel="0" collapsed="false">
      <c r="A23" s="4" t="s">
        <v>83</v>
      </c>
    </row>
    <row r="24" customFormat="false" ht="15" hidden="false" customHeight="true" outlineLevel="0" collapsed="false">
      <c r="A24" s="24" t="s">
        <v>84</v>
      </c>
      <c r="B24" s="24" t="s">
        <v>85</v>
      </c>
      <c r="C24" s="24" t="s">
        <v>86</v>
      </c>
    </row>
    <row r="25" customFormat="false" ht="39.75" hidden="false" customHeight="true" outlineLevel="0" collapsed="false">
      <c r="A25" s="13" t="s">
        <v>87</v>
      </c>
      <c r="B25" s="13" t="s">
        <v>88</v>
      </c>
      <c r="C25" s="13" t="s">
        <v>89</v>
      </c>
    </row>
    <row r="26" customFormat="false" ht="15" hidden="false" customHeight="true" outlineLevel="0" collapsed="false">
      <c r="A26" s="1" t="s">
        <v>87</v>
      </c>
      <c r="B26" s="1" t="s">
        <v>90</v>
      </c>
      <c r="C26" s="1" t="s">
        <v>91</v>
      </c>
    </row>
    <row r="27" customFormat="false" ht="15" hidden="false" customHeight="true" outlineLevel="0" collapsed="false">
      <c r="A27" s="1" t="s">
        <v>87</v>
      </c>
      <c r="B27" s="1" t="s">
        <v>92</v>
      </c>
      <c r="C27" s="1" t="s">
        <v>93</v>
      </c>
    </row>
    <row r="28" customFormat="false" ht="15" hidden="false" customHeight="true" outlineLevel="0" collapsed="false">
      <c r="A28" s="1" t="s">
        <v>87</v>
      </c>
      <c r="B28" s="1" t="s">
        <v>94</v>
      </c>
      <c r="C28" s="1" t="s">
        <v>95</v>
      </c>
    </row>
    <row r="29" customFormat="false" ht="15" hidden="false" customHeight="true" outlineLevel="0" collapsed="false">
      <c r="A29" s="1" t="s">
        <v>87</v>
      </c>
      <c r="B29" s="1" t="s">
        <v>96</v>
      </c>
      <c r="C29" s="1" t="s">
        <v>97</v>
      </c>
    </row>
    <row r="30" customFormat="false" ht="15" hidden="false" customHeight="true" outlineLevel="0" collapsed="false">
      <c r="A30" s="1" t="s">
        <v>87</v>
      </c>
      <c r="B30" s="1" t="s">
        <v>98</v>
      </c>
      <c r="C30" s="1" t="s">
        <v>99</v>
      </c>
    </row>
    <row r="31" customFormat="false" ht="15" hidden="false" customHeight="true" outlineLevel="0" collapsed="false">
      <c r="A31" s="1" t="s">
        <v>87</v>
      </c>
      <c r="B31" s="1" t="s">
        <v>100</v>
      </c>
      <c r="C31" s="1" t="s">
        <v>101</v>
      </c>
    </row>
    <row r="32" customFormat="false" ht="15" hidden="false" customHeight="true" outlineLevel="0" collapsed="false">
      <c r="A32" s="1" t="s">
        <v>87</v>
      </c>
      <c r="B32" s="1" t="s">
        <v>102</v>
      </c>
      <c r="C32" s="1" t="s">
        <v>103</v>
      </c>
    </row>
    <row r="33" customFormat="false" ht="15" hidden="false" customHeight="false" outlineLevel="0" collapsed="false">
      <c r="A33" s="1" t="s">
        <v>87</v>
      </c>
      <c r="B33" s="1" t="s">
        <v>104</v>
      </c>
      <c r="C33" s="1" t="s">
        <v>105</v>
      </c>
    </row>
  </sheetData>
  <mergeCells count="2">
    <mergeCell ref="A1:N1"/>
    <mergeCell ref="A2:N2"/>
  </mergeCells>
  <dataValidations count="1">
    <dataValidation allowBlank="false" errorStyle="stop" operator="between" showDropDown="false" showErrorMessage="false" showInputMessage="false" sqref="D8:D17" type="list">
      <formula1>"Not started,In progress,Blocked,Done"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30"/>
    <col collapsed="false" customWidth="true" hidden="false" outlineLevel="0" max="3" min="3" style="1" width="13"/>
    <col collapsed="false" customWidth="true" hidden="false" outlineLevel="0" max="47" min="4" style="1" width="3"/>
  </cols>
  <sheetData>
    <row r="1" customFormat="false" ht="17.25" hidden="false" customHeight="true" outlineLevel="0" collapsed="false">
      <c r="A1" s="2" t="s">
        <v>106</v>
      </c>
      <c r="B1" s="2"/>
      <c r="C1" s="2"/>
      <c r="D1" s="2"/>
      <c r="E1" s="2"/>
      <c r="F1" s="2"/>
      <c r="G1" s="2"/>
      <c r="H1" s="2"/>
    </row>
    <row r="2" customFormat="false" ht="15" hidden="false" customHeight="true" outlineLevel="0" collapsed="false">
      <c r="A2" s="3" t="s">
        <v>107</v>
      </c>
      <c r="B2" s="3"/>
      <c r="C2" s="3"/>
      <c r="D2" s="3"/>
      <c r="E2" s="3"/>
      <c r="F2" s="3"/>
      <c r="G2" s="3"/>
      <c r="H2" s="3"/>
    </row>
    <row r="4" customFormat="false" ht="15" hidden="false" customHeight="true" outlineLevel="0" collapsed="false">
      <c r="A4" s="4" t="s">
        <v>5</v>
      </c>
      <c r="B4" s="4" t="s">
        <v>108</v>
      </c>
      <c r="C4" s="4" t="s">
        <v>7</v>
      </c>
      <c r="D4" s="25" t="n">
        <v>0</v>
      </c>
      <c r="E4" s="25" t="n">
        <v>1</v>
      </c>
      <c r="F4" s="25" t="n">
        <v>2</v>
      </c>
      <c r="G4" s="25" t="n">
        <v>3</v>
      </c>
      <c r="H4" s="25" t="n">
        <v>4</v>
      </c>
      <c r="I4" s="25" t="n">
        <v>5</v>
      </c>
      <c r="J4" s="25" t="n">
        <v>6</v>
      </c>
      <c r="K4" s="25" t="n">
        <v>7</v>
      </c>
      <c r="L4" s="25" t="n">
        <v>8</v>
      </c>
      <c r="M4" s="25" t="n">
        <v>9</v>
      </c>
      <c r="N4" s="25" t="n">
        <v>10</v>
      </c>
      <c r="O4" s="25" t="n">
        <v>11</v>
      </c>
      <c r="P4" s="25" t="n">
        <v>12</v>
      </c>
      <c r="Q4" s="25" t="n">
        <v>13</v>
      </c>
      <c r="R4" s="25" t="n">
        <v>14</v>
      </c>
      <c r="S4" s="25" t="n">
        <v>15</v>
      </c>
      <c r="T4" s="25" t="n">
        <v>16</v>
      </c>
      <c r="U4" s="25" t="n">
        <v>17</v>
      </c>
      <c r="V4" s="25" t="n">
        <v>18</v>
      </c>
      <c r="W4" s="25" t="n">
        <v>19</v>
      </c>
      <c r="X4" s="25" t="n">
        <v>20</v>
      </c>
      <c r="Y4" s="25" t="n">
        <v>21</v>
      </c>
      <c r="Z4" s="25" t="n">
        <v>22</v>
      </c>
      <c r="AA4" s="25" t="n">
        <v>23</v>
      </c>
      <c r="AB4" s="25" t="n">
        <v>24</v>
      </c>
      <c r="AC4" s="25" t="n">
        <v>25</v>
      </c>
      <c r="AD4" s="25" t="n">
        <v>26</v>
      </c>
      <c r="AE4" s="25" t="n">
        <v>27</v>
      </c>
      <c r="AF4" s="25" t="n">
        <v>28</v>
      </c>
      <c r="AG4" s="25" t="n">
        <v>29</v>
      </c>
      <c r="AH4" s="25" t="n">
        <v>30</v>
      </c>
      <c r="AI4" s="25" t="n">
        <v>31</v>
      </c>
      <c r="AJ4" s="25" t="n">
        <v>32</v>
      </c>
      <c r="AK4" s="25" t="n">
        <v>33</v>
      </c>
      <c r="AL4" s="25" t="n">
        <v>34</v>
      </c>
      <c r="AM4" s="25" t="n">
        <v>35</v>
      </c>
      <c r="AN4" s="25" t="n">
        <v>36</v>
      </c>
      <c r="AO4" s="25" t="n">
        <v>37</v>
      </c>
      <c r="AP4" s="25" t="n">
        <v>38</v>
      </c>
      <c r="AQ4" s="25" t="n">
        <v>39</v>
      </c>
      <c r="AR4" s="25" t="n">
        <v>40</v>
      </c>
      <c r="AS4" s="25" t="n">
        <v>41</v>
      </c>
      <c r="AT4" s="25" t="n">
        <v>42</v>
      </c>
      <c r="AU4" s="25" t="n">
        <v>43</v>
      </c>
      <c r="AW4" s="26" t="s">
        <v>109</v>
      </c>
      <c r="AX4" s="26" t="s">
        <v>110</v>
      </c>
    </row>
    <row r="5" customFormat="false" ht="33.75" hidden="false" customHeight="true" outlineLevel="0" collapsed="false">
      <c r="D5" s="27" t="n">
        <f aca="false">'Task Plan'!$B$4+0</f>
        <v>46287</v>
      </c>
      <c r="E5" s="27" t="n">
        <f aca="false">'Task Plan'!$B$4+1</f>
        <v>46288</v>
      </c>
      <c r="F5" s="27" t="n">
        <f aca="false">'Task Plan'!$B$4+2</f>
        <v>46289</v>
      </c>
      <c r="G5" s="27" t="n">
        <f aca="false">'Task Plan'!$B$4+3</f>
        <v>46290</v>
      </c>
      <c r="H5" s="27" t="n">
        <f aca="false">'Task Plan'!$B$4+4</f>
        <v>46291</v>
      </c>
      <c r="I5" s="27" t="n">
        <f aca="false">'Task Plan'!$B$4+5</f>
        <v>46292</v>
      </c>
      <c r="J5" s="27" t="n">
        <f aca="false">'Task Plan'!$B$4+6</f>
        <v>46293</v>
      </c>
      <c r="K5" s="27" t="n">
        <f aca="false">'Task Plan'!$B$4+7</f>
        <v>46294</v>
      </c>
      <c r="L5" s="27" t="n">
        <f aca="false">'Task Plan'!$B$4+8</f>
        <v>46295</v>
      </c>
      <c r="M5" s="27" t="n">
        <f aca="false">'Task Plan'!$B$4+9</f>
        <v>46296</v>
      </c>
      <c r="N5" s="27" t="n">
        <f aca="false">'Task Plan'!$B$4+10</f>
        <v>46297</v>
      </c>
      <c r="O5" s="27" t="n">
        <f aca="false">'Task Plan'!$B$4+11</f>
        <v>46298</v>
      </c>
      <c r="P5" s="27" t="n">
        <f aca="false">'Task Plan'!$B$4+12</f>
        <v>46299</v>
      </c>
      <c r="Q5" s="27" t="n">
        <f aca="false">'Task Plan'!$B$4+13</f>
        <v>46300</v>
      </c>
      <c r="R5" s="27" t="n">
        <f aca="false">'Task Plan'!$B$4+14</f>
        <v>46301</v>
      </c>
      <c r="S5" s="27" t="n">
        <f aca="false">'Task Plan'!$B$4+15</f>
        <v>46302</v>
      </c>
      <c r="T5" s="27" t="n">
        <f aca="false">'Task Plan'!$B$4+16</f>
        <v>46303</v>
      </c>
      <c r="U5" s="27" t="n">
        <f aca="false">'Task Plan'!$B$4+17</f>
        <v>46304</v>
      </c>
      <c r="V5" s="27" t="n">
        <f aca="false">'Task Plan'!$B$4+18</f>
        <v>46305</v>
      </c>
      <c r="W5" s="27" t="n">
        <f aca="false">'Task Plan'!$B$4+19</f>
        <v>46306</v>
      </c>
      <c r="X5" s="27" t="n">
        <f aca="false">'Task Plan'!$B$4+20</f>
        <v>46307</v>
      </c>
      <c r="Y5" s="27" t="n">
        <f aca="false">'Task Plan'!$B$4+21</f>
        <v>46308</v>
      </c>
      <c r="Z5" s="27" t="n">
        <f aca="false">'Task Plan'!$B$4+22</f>
        <v>46309</v>
      </c>
      <c r="AA5" s="27" t="n">
        <f aca="false">'Task Plan'!$B$4+23</f>
        <v>46310</v>
      </c>
      <c r="AB5" s="27" t="n">
        <f aca="false">'Task Plan'!$B$4+24</f>
        <v>46311</v>
      </c>
      <c r="AC5" s="27" t="n">
        <f aca="false">'Task Plan'!$B$4+25</f>
        <v>46312</v>
      </c>
      <c r="AD5" s="27" t="n">
        <f aca="false">'Task Plan'!$B$4+26</f>
        <v>46313</v>
      </c>
      <c r="AE5" s="27" t="n">
        <f aca="false">'Task Plan'!$B$4+27</f>
        <v>46314</v>
      </c>
      <c r="AF5" s="27" t="n">
        <f aca="false">'Task Plan'!$B$4+28</f>
        <v>46315</v>
      </c>
      <c r="AG5" s="27" t="n">
        <f aca="false">'Task Plan'!$B$4+29</f>
        <v>46316</v>
      </c>
      <c r="AH5" s="27" t="n">
        <f aca="false">'Task Plan'!$B$4+30</f>
        <v>46317</v>
      </c>
      <c r="AI5" s="27" t="n">
        <f aca="false">'Task Plan'!$B$4+31</f>
        <v>46318</v>
      </c>
      <c r="AJ5" s="27" t="n">
        <f aca="false">'Task Plan'!$B$4+32</f>
        <v>46319</v>
      </c>
      <c r="AK5" s="27" t="n">
        <f aca="false">'Task Plan'!$B$4+33</f>
        <v>46320</v>
      </c>
      <c r="AL5" s="27" t="n">
        <f aca="false">'Task Plan'!$B$4+34</f>
        <v>46321</v>
      </c>
      <c r="AM5" s="27" t="n">
        <f aca="false">'Task Plan'!$B$4+35</f>
        <v>46322</v>
      </c>
      <c r="AN5" s="27" t="n">
        <f aca="false">'Task Plan'!$B$4+36</f>
        <v>46323</v>
      </c>
      <c r="AO5" s="27" t="n">
        <f aca="false">'Task Plan'!$B$4+37</f>
        <v>46324</v>
      </c>
      <c r="AP5" s="27" t="n">
        <f aca="false">'Task Plan'!$B$4+38</f>
        <v>46325</v>
      </c>
      <c r="AQ5" s="27" t="n">
        <f aca="false">'Task Plan'!$B$4+39</f>
        <v>46326</v>
      </c>
      <c r="AR5" s="27" t="n">
        <f aca="false">'Task Plan'!$B$4+40</f>
        <v>46327</v>
      </c>
      <c r="AS5" s="27" t="n">
        <f aca="false">'Task Plan'!$B$4+41</f>
        <v>46328</v>
      </c>
      <c r="AT5" s="27" t="n">
        <f aca="false">'Task Plan'!$B$4+42</f>
        <v>46329</v>
      </c>
      <c r="AU5" s="27" t="n">
        <f aca="false">'Task Plan'!$B$4+43</f>
        <v>46330</v>
      </c>
    </row>
    <row r="7" customFormat="false" ht="15" hidden="false" customHeight="true" outlineLevel="0" collapsed="false">
      <c r="A7" s="8" t="n">
        <f aca="false">'Task Plan'!A8</f>
        <v>1</v>
      </c>
      <c r="B7" s="28" t="str">
        <f aca="false">'Task Plan'!B8&amp;" ["&amp;'Task Plan'!D8&amp;"]"</f>
        <v>Design &amp; migrate schema [Done]</v>
      </c>
      <c r="C7" s="29" t="str">
        <f aca="false">'Task Plan'!C8</f>
        <v>Foundation</v>
      </c>
      <c r="AW7" s="30" t="n">
        <f aca="false">'Task Plan'!G8</f>
        <v>0</v>
      </c>
      <c r="AX7" s="30" t="n">
        <f aca="false">'Task Plan'!H8</f>
        <v>6</v>
      </c>
    </row>
    <row r="8" customFormat="false" ht="15" hidden="false" customHeight="true" outlineLevel="0" collapsed="false">
      <c r="A8" s="8" t="n">
        <f aca="false">'Task Plan'!A9</f>
        <v>2</v>
      </c>
      <c r="B8" s="28" t="str">
        <f aca="false">'Task Plan'!B9&amp;" ["&amp;'Task Plan'!D9&amp;"]"</f>
        <v>Verify Legistar API access (nnph-dboh) [Done]</v>
      </c>
      <c r="C8" s="29" t="str">
        <f aca="false">'Task Plan'!C9</f>
        <v>Foundation</v>
      </c>
      <c r="AW8" s="30" t="n">
        <f aca="false">'Task Plan'!G9</f>
        <v>0</v>
      </c>
      <c r="AX8" s="30" t="n">
        <f aca="false">'Task Plan'!H9</f>
        <v>2</v>
      </c>
    </row>
    <row r="9" customFormat="false" ht="15" hidden="false" customHeight="true" outlineLevel="0" collapsed="false">
      <c r="A9" s="8" t="n">
        <f aca="false">'Task Plan'!A10</f>
        <v>3</v>
      </c>
      <c r="B9" s="28" t="str">
        <f aca="false">'Task Plan'!B10&amp;" ["&amp;'Task Plan'!D10&amp;"]"</f>
        <v>Harden NELIS scraper selectors [Done]</v>
      </c>
      <c r="C9" s="29" t="str">
        <f aca="false">'Task Plan'!C10</f>
        <v>Foundation</v>
      </c>
      <c r="AW9" s="30" t="n">
        <f aca="false">'Task Plan'!G10</f>
        <v>0</v>
      </c>
      <c r="AX9" s="30" t="n">
        <f aca="false">'Task Plan'!H10</f>
        <v>3</v>
      </c>
    </row>
    <row r="10" customFormat="false" ht="15" hidden="false" customHeight="true" outlineLevel="0" collapsed="false">
      <c r="A10" s="8" t="n">
        <f aca="false">'Task Plan'!A11</f>
        <v>4</v>
      </c>
      <c r="B10" s="28" t="str">
        <f aca="false">'Task Plan'!B11&amp;" ["&amp;'Task Plan'!D11&amp;"]"</f>
        <v>Provision hosting [Done]</v>
      </c>
      <c r="C10" s="29" t="str">
        <f aca="false">'Task Plan'!C11</f>
        <v>Foundation</v>
      </c>
      <c r="AW10" s="30" t="n">
        <f aca="false">'Task Plan'!G11</f>
        <v>3</v>
      </c>
      <c r="AX10" s="30" t="n">
        <f aca="false">'Task Plan'!H11</f>
        <v>6</v>
      </c>
    </row>
    <row r="11" customFormat="false" ht="15" hidden="false" customHeight="true" outlineLevel="0" collapsed="false">
      <c r="A11" s="8" t="n">
        <f aca="false">'Task Plan'!A12</f>
        <v>5</v>
      </c>
      <c r="B11" s="28" t="str">
        <f aca="false">'Task Plan'!B12&amp;" ["&amp;'Task Plan'!D12&amp;"]"</f>
        <v>Backend API [Done]</v>
      </c>
      <c r="C11" s="29" t="str">
        <f aca="false">'Task Plan'!C12</f>
        <v>Backend/Frontend</v>
      </c>
      <c r="AW11" s="30" t="n">
        <f aca="false">'Task Plan'!G12</f>
        <v>7</v>
      </c>
      <c r="AX11" s="30" t="n">
        <f aca="false">'Task Plan'!H12</f>
        <v>16</v>
      </c>
    </row>
    <row r="12" customFormat="false" ht="15" hidden="false" customHeight="true" outlineLevel="0" collapsed="false">
      <c r="A12" s="8" t="n">
        <f aca="false">'Task Plan'!A13</f>
        <v>6</v>
      </c>
      <c r="B12" s="28" t="str">
        <f aca="false">'Task Plan'!B13&amp;" ["&amp;'Task Plan'!D13&amp;"]"</f>
        <v>Document capture pipeline [Not started]</v>
      </c>
      <c r="C12" s="29" t="str">
        <f aca="false">'Task Plan'!C13</f>
        <v>Data pipeline</v>
      </c>
      <c r="AW12" s="30" t="n">
        <f aca="false">'Task Plan'!G13</f>
        <v>7</v>
      </c>
      <c r="AX12" s="30" t="n">
        <f aca="false">'Task Plan'!H13</f>
        <v>16</v>
      </c>
    </row>
    <row r="13" customFormat="false" ht="15" hidden="false" customHeight="true" outlineLevel="0" collapsed="false">
      <c r="A13" s="8" t="n">
        <f aca="false">'Task Plan'!A14</f>
        <v>7</v>
      </c>
      <c r="B13" s="28" t="str">
        <f aca="false">'Task Plan'!B14&amp;" ["&amp;'Task Plan'!D14&amp;"]"</f>
        <v>Extraction pipeline (OCR + LLM) [Not started]</v>
      </c>
      <c r="C13" s="29" t="str">
        <f aca="false">'Task Plan'!C14</f>
        <v>Data pipeline</v>
      </c>
      <c r="AW13" s="30" t="n">
        <f aca="false">'Task Plan'!G14</f>
        <v>17</v>
      </c>
      <c r="AX13" s="30" t="n">
        <f aca="false">'Task Plan'!H14</f>
        <v>23</v>
      </c>
    </row>
    <row r="14" customFormat="false" ht="15" hidden="false" customHeight="true" outlineLevel="0" collapsed="false">
      <c r="A14" s="8" t="n">
        <f aca="false">'Task Plan'!A15</f>
        <v>8</v>
      </c>
      <c r="B14" s="28" t="str">
        <f aca="false">'Task Plan'!B15&amp;" ["&amp;'Task Plan'!D15&amp;"]"</f>
        <v>Subject tagging (LLM) [Not started]</v>
      </c>
      <c r="C14" s="29" t="str">
        <f aca="false">'Task Plan'!C15</f>
        <v>Data pipeline</v>
      </c>
      <c r="AW14" s="30" t="n">
        <f aca="false">'Task Plan'!G15</f>
        <v>24</v>
      </c>
      <c r="AX14" s="30" t="n">
        <f aca="false">'Task Plan'!H15</f>
        <v>30</v>
      </c>
    </row>
    <row r="15" customFormat="false" ht="15" hidden="false" customHeight="true" outlineLevel="0" collapsed="false">
      <c r="A15" s="8" t="n">
        <f aca="false">'Task Plan'!A16</f>
        <v>9</v>
      </c>
      <c r="B15" s="28" t="str">
        <f aca="false">'Task Plan'!B16&amp;" ["&amp;'Task Plan'!D16&amp;"]"</f>
        <v>Briefing generation upgrade [Not started]</v>
      </c>
      <c r="C15" s="29" t="str">
        <f aca="false">'Task Plan'!C16</f>
        <v>Data pipeline</v>
      </c>
      <c r="AW15" s="30" t="n">
        <f aca="false">'Task Plan'!G16</f>
        <v>31</v>
      </c>
      <c r="AX15" s="30" t="n">
        <f aca="false">'Task Plan'!H16</f>
        <v>33</v>
      </c>
    </row>
    <row r="16" customFormat="false" ht="15" hidden="false" customHeight="true" outlineLevel="0" collapsed="false">
      <c r="A16" s="8" t="n">
        <f aca="false">'Task Plan'!A17</f>
        <v>10</v>
      </c>
      <c r="B16" s="28" t="str">
        <f aca="false">'Task Plan'!B17&amp;" ["&amp;'Task Plan'!D17&amp;"]"</f>
        <v>Frontend cutover to live API [Not started]</v>
      </c>
      <c r="C16" s="29" t="str">
        <f aca="false">'Task Plan'!C17</f>
        <v>Launch</v>
      </c>
      <c r="AW16" s="30" t="n">
        <f aca="false">'Task Plan'!G17</f>
        <v>34</v>
      </c>
      <c r="AX16" s="30" t="n">
        <f aca="false">'Task Plan'!H17</f>
        <v>43</v>
      </c>
    </row>
    <row r="19" customFormat="false" ht="15" hidden="false" customHeight="true" outlineLevel="0" collapsed="false">
      <c r="A19" s="4" t="s">
        <v>82</v>
      </c>
      <c r="B19" s="20" t="s">
        <v>20</v>
      </c>
      <c r="C19" s="21" t="s">
        <v>50</v>
      </c>
      <c r="D19" s="22" t="s">
        <v>43</v>
      </c>
      <c r="E19" s="23" t="s">
        <v>76</v>
      </c>
    </row>
  </sheetData>
  <mergeCells count="2">
    <mergeCell ref="A1:H1"/>
    <mergeCell ref="A2:H2"/>
  </mergeCells>
  <conditionalFormatting sqref="D7:AU16">
    <cfRule type="expression" priority="2" aboveAverage="0" equalAverage="0" bottom="0" percent="0" rank="0" text="" dxfId="0">
      <formula>AND(D$4&gt;=$AW7,D$4&lt;=$AX7,$C7="Foundation")</formula>
    </cfRule>
    <cfRule type="expression" priority="3" aboveAverage="0" equalAverage="0" bottom="0" percent="0" rank="0" text="" dxfId="1">
      <formula>AND(D$4&gt;=$AW7,D$4&lt;=$AX7,$C7="Data pipeline")</formula>
    </cfRule>
    <cfRule type="expression" priority="4" aboveAverage="0" equalAverage="0" bottom="0" percent="0" rank="0" text="" dxfId="2">
      <formula>AND(D$4&gt;=$AW7,D$4&lt;=$AX7,$C7="Backend/Frontend")</formula>
    </cfRule>
    <cfRule type="expression" priority="5" aboveAverage="0" equalAverage="0" bottom="0" percent="0" rank="0" text="" dxfId="3">
      <formula>AND(D$4&gt;=$AW7,D$4&lt;=$AX7,$C7="Launch")</formula>
    </cfRule>
  </conditionalFormatting>
  <conditionalFormatting sqref="D5:AU5">
    <cfRule type="expression" priority="6" aboveAverage="0" equalAverage="0" bottom="0" percent="0" rank="0" text="" dxfId="4">
      <formula>D5=TODAY()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2026-09-19T19:45:01Z</dcterms:created>
  <dc:creator>openpyxl</dc:creator>
  <dc:description/>
  <dc:language>en-US</dc:language>
  <cp:lastModifiedBy/>
  <dcterms:modified xsi:type="dcterms:W3CDTF">2026-09-20T01:45:41Z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