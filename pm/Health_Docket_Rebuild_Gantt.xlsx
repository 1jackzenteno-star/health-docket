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Task Plan" sheetId="1" state="visible" r:id="rId3"/>
    <sheet name="Gantt" sheetId="2" state="visible" r:id="rId4"/>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<sst xmlns="http://schemas.openxmlformats.org/spreadsheetml/2006/main" count="168" uniqueCount="127">
  <si>
    <t xml:space="preserve">Health Docket — Repo Restructuring Gantt</t>
  </si>
  <si>
    <t xml:space="preserve">Edit yellow cells only: Status, and Duration/Manual Start where shown. Everything else recalculates. Task list/phases/dependencies from policy-docket-design-spec.docx §8 (spec of record); durations are Claude's estimates, not from the spec.</t>
  </si>
  <si>
    <t xml:space="preserve">Project Start Date</t>
  </si>
  <si>
    <t xml:space="preserve">2026-09-22</t>
  </si>
  <si>
    <t xml:space="preserve">As of / today</t>
  </si>
  <si>
    <t xml:space="preserve">ID</t>
  </si>
  <si>
    <t xml:space="preserve">Task</t>
  </si>
  <si>
    <t xml:space="preserve">Phase</t>
  </si>
  <si>
    <t xml:space="preserve">Status</t>
  </si>
  <si>
    <t xml:space="preserve">Predecessor(s)</t>
  </si>
  <si>
    <t xml:space="preserve">Duration (days, Claude's estimate)</t>
  </si>
  <si>
    <t xml:space="preserve">Start Offset</t>
  </si>
  <si>
    <t xml:space="preserve">End Offset</t>
  </si>
  <si>
    <t xml:space="preserve">Start Date</t>
  </si>
  <si>
    <t xml:space="preserve">End Date</t>
  </si>
  <si>
    <t xml:space="preserve">Files this task creates/changes</t>
  </si>
  <si>
    <t xml:space="preserve">Notes</t>
  </si>
  <si>
    <t xml:space="preserve">Design reference (policy-docket-design-spec.docx)</t>
  </si>
  <si>
    <t xml:space="preserve">Verify done (run this yourself)</t>
  </si>
  <si>
    <t xml:space="preserve">Design &amp; migrate schema</t>
  </si>
  <si>
    <t xml:space="preserve">Foundation</t>
  </si>
  <si>
    <t xml:space="preserve">Done</t>
  </si>
  <si>
    <t xml:space="preserve">—</t>
  </si>
  <si>
    <t xml:space="preserve">db/schema.sql; db/migrate.py; db/health_docket.db (generated by migrate.py, gitignored — never committed)</t>
  </si>
  <si>
    <t xml:space="preserve">Started with schema.sql/migrate.py already scaffolded (2026-09-19, prior unlogged session). Migration run 2026-09-19: tiers=3, policy_areas=32, bodies=6, meetings=25 (0 skipped, matches meetings.json exactly), meeting_documents=26, briefings=3 (0 skipped, matches briefing.json exactly). PRAGMA foreign_key_check clean, no orphaned body_id/meeting_id. legislative_subjects/meeting_subjects/focus_areas left empty as designed (no real data yet). Done.</t>
  </si>
  <si>
    <t xml:space="preserve">Spec §4 Data Model — column-level detail for bodies/meetings/meeting_documents/meeting_subjects, plus the full 11-table schema in §4 of the earlier system-design.docx.</t>
  </si>
  <si>
    <t xml:space="preserve">Run the migration script; row counts in the new tables must match meetings.json/briefing.json exactly, and every meeting_id/body_id foreign key must resolve — no orphans.</t>
  </si>
  <si>
    <t xml:space="preserve">Verify Legistar API access (nnph-dboh)</t>
  </si>
  <si>
    <t xml:space="preserve">scrapers/legistar.py</t>
  </si>
  <si>
    <t xml:space="preserve">Fixed the body_name bug: config/sources.yaml now says 'Northern Nevada Public Health' (was 'District Board of Health'). Verify done, checked 2026-09-19: called webapi.legistar.com/v1/washoe/events directly — it returned a server error (500), not JSON, so the JSON API is confirmed not usable for this client (matches legistar.py's own note that it wasn't reachable when written). Fetched the live calendar page instead (washoe-nv.legistar.com/Calendar.aspx) and confirmed a real meeting is listed under 'Northern Nevada Public Health' (9/24/2026) — the corrected name is right. Caveat: could not actually execute scrapers/legistar.py itself from either sandbox (this cloud workspace or Jack's Mac) — both block outbound calls to legistar.com by network policy. Jack can close this last gap himself by running `python3 -c "import yaml; from scrapers.legistar import scrape; print(scrape([s for s in yaml.safe_load(open('config/sources.yaml'))['sources'] if s['id']=='nnph-dboh'][0]))"` from his own real terminal (not through Claude) — should print real meetings, not an empty list. Re-ran db/migrate.py afterward so the database's copy of this config is in sync.</t>
  </si>
  <si>
    <t xml:space="preserve">Spec §10 Risks &amp; Open Questions — "Legistar API access unconfirmed" row; scrapers/legistar.py already has the webapi.legistar.com attempt + HTML fallback.</t>
  </si>
  <si>
    <t xml:space="preserve">Call webapi.legistar.com/v1/washoe/events directly; confirm it returns real event JSON, not an error. If it fails, run the HTML-fallback path in legistar.py and confirm it returns real meetings for 'Northern Nevada Public Health' (not zero, per the body_name bug above).</t>
  </si>
  <si>
    <t xml:space="preserve">Harden NELIS scraper selectors</t>
  </si>
  <si>
    <t xml:space="preserve">scrapers/nelis.py</t>
  </si>
  <si>
    <t xml:space="preserve">Verified by Jack himself, 2026-09-19, from his own terminal (the one command neither of Claude's sandboxes could run): `scrapers/nelis.py` against the real live site returned 7 real meetings for the Joint Interim Standing Committee on Health &amp; Human Services, dated 2026-01-06 through 2026-08-11, each with a real link to its agenda page (e.g. .../Meeting/34838). Not an empty list — the selectors work as originally written; no code changes were needed. Rows come back with verified=False (by the scraper's own deliberate design, since HTML-table parsing is treated as needing a human glance), which is expected behavior, not a defect.</t>
  </si>
  <si>
    <t xml:space="preserve">Spec §10 Risks &amp; Open Questions — "NELIS selectors unverified... Open — Task 3 in the build plan."</t>
  </si>
  <si>
    <t xml:space="preserve">Run scrapers/nelis.py against the live leg.state.nv.us site; confirm it returns real meeting rows for the Joint Interim Standing Committee on Health &amp; Human Services, not an empty list.</t>
  </si>
  <si>
    <t xml:space="preserve">Provision hosting</t>
  </si>
  <si>
    <t xml:space="preserve">deploy/render.yaml (or fly.toml); deploy/.env.example</t>
  </si>
  <si>
    <t xml:space="preserve">Jack created the Render account 2026-09-19 — that part genuinely needed him (billing/signup), and it's done. Corrected 2026-09-19: the earlier plan on this row (Postgres add-on) was wrong — it didn't match the design spec (§5.1 recommends SQLite outright, Postgres only if this becomes multi-user or write volume grows a lot, neither true here) or the code Task 5 actually wrote (plain sqlite3, no Postgres driver). Corrected plan: SQLite on a small persistent disk instead. deploy/render.yaml written and committed: web service (plan 0.5c-512mb, /mo) + a 1GB persistent disk (/bin/bash.25/mo) = ~$7.25/mo, cheaper than the old Postgres plan and still within the spec's $5-15/mo ceiling (NFR2). api/db.py and db/migrate.py updated to read the DB path from a DATABASE_PATH env var (falls back to the old repo-relative default for local dev) so the database can live on the disk in production; this surfaced and fixed a real bug (a status-line print that crashed when the DB path was outside the repo). initialDeployHook runs db/migrate.py once on first deploy only, so later redeploys don't wipe Jack's saved focus_areas. Simulated the whole deploy locally (built the DB at an out-of-repo path via DATABASE_PATH, ran the server against it, confirmed /api/health, /api/policy-areas, and a real POST /api/focus-areas all work). Still needs Jack to actually create the Blueprint in the Render dashboard (New -&gt; Blueprint -&gt; connect the GitHub repo) since approving a paid plan is his call, then this task's Verify done check can run against the real live URL. Deployed live 2026-09-19: health-docket-api is running on Render at https://health-docket-api.onrender.com. Hit a real deploy bug along the way -- the first live deploy came up degraded (database file missing) because Render's initialDeployHook runs after the health check already reports success, and ours reports "degraded" instead of failing outright, so Render called the deploy done before the database got built. Fixed by building the database directly in startCommand, before the server opens for traffic, only when the file is missing (so a real restart won't wipe Jack's saved focus_areas). Verify done check passed: hit the live URL from an outside network (WebFetch, not Jack's Mac) -- /api/health returns {"status":"ok","database":"reachable"}, /api/policy-areas returns all 32 real policy areas. Task 4 Done.</t>
  </si>
  <si>
    <t xml:space="preserve">Spec §9.3 Rough cost estimate — hosting ~$5-10/mo (Render, Railway, Fly.io, or a cheap VPS).</t>
  </si>
  <si>
    <t xml:space="preserve">Hit the hosted app's URL from a browser with no VPN, on a different network than Jack's Mac; confirm it actually responds, not just reachable on localhost.</t>
  </si>
  <si>
    <t xml:space="preserve">Backend API</t>
  </si>
  <si>
    <t xml:space="preserve">Backend/Frontend</t>
  </si>
  <si>
    <t xml:space="preserve">T1</t>
  </si>
  <si>
    <t xml:space="preserve">api/main.py; api/db.py; api/routes/policy_areas.py; api/routes/health.py; api/routes/subjects.py; api/routes/focus_areas.py</t>
  </si>
  <si>
    <t xml:space="preserve">Needs the schema from Task 1. Seven endpoints per spec §6. Built and tested locally 2026-09-19 against a fresh db/migrate.py build: all 7 spec endpoints (GET /api/policy-areas, /policy-areas/{slug}/snapshot, /attention, /bodies, GET /api/subjects/{slug}, GET+POST /api/focus-areas) plus a bonus /api/health check all returned the documented {data, generated_at} envelope. 404 confirmed for a bad policy-area slug and a bad subject slug. 400 confirmed for a focus-area POST referencing a nonexistent policy_area_id. Confirmed the upsert-by-case-insensitive-name design for POST /api/focus-areas: posting the same name in a different case with different policy_area_ids updated the existing row (same id) rather than creating a duplicate. All counts came back zero/empty as expected, since meeting_subjects/legislative_subjects/focus_areas have no real data yet (Tasks 6-8) — this is correct, not a bug. requirements.txt updated with fastapi + uvicorn[standard].</t>
  </si>
  <si>
    <t xml:space="preserve">Spec §6 API Specification — 7 endpoints: GET /api/policy-areas, GET /api/policy-areas/{slug}/snapshot, /attention, /bodies, GET /api/subjects/{slug}, GET+POST /api/focus-areas. Every read endpoint returns {data, generated_at}; AI-derived fields nest under model_version (spec §6, NFR3).</t>
  </si>
  <si>
    <t xml:space="preserve">curl each of the 7 endpoints in spec §6 against the running API; confirm each returns the documented JSON envelope {data, generated_at} and the correct error code (404/400) for bad input.</t>
  </si>
  <si>
    <t xml:space="preserve">Document capture pipeline</t>
  </si>
  <si>
    <t xml:space="preserve">Data pipeline</t>
  </si>
  <si>
    <t xml:space="preserve">T1, T2, T3</t>
  </si>
  <si>
    <t xml:space="preserve">pipeline/capture_documents.py</t>
  </si>
  <si>
    <t xml:space="preserve">Per spec §8, this depends on the schema AND both scraper-verification tasks — not just the schema — since it needs confirmed-working scrapers to know which documents are even reachable. pipeline/capture_documents.py written 2026-09-19: downloads whatever is at each meeting_documents.source_file_url, saves it under data/documents/&lt;external_id&gt;/&lt;doc id&gt;.&lt;ext&gt; (storage-location call explained in the module docstring — git-committed, not a separate cloud account, matching NFR2), and updates capture_status to captured or not_linked per spec §5's failure-handling rule. Verified locally against a mock HTTP server (fake PDF, fake HTML page, a 404) — all three behaved correctly, and a second run correctly skipped already-processed rows. Could not verify against the real source sites (leg.state.nv.us, southernnevadahealthdistrict.org, etc.) — blocked by network policy from both sandboxes this session, same restriction as Tasks 2/3. Needs Jack to run it from his own terminal to confirm real downloads, same pattern as Task 3's NELIS verification. NOTE for later: capture_status lives only in db/health_docket.db, which db/migrate.py drops and rebuilds from scratch every run — so today this only proves the capture logic works within one run, not that status persists. That's fine for this task's scope but will need addressing (the same way Task 4 needed a persistent disk for focus_areas) before this runs on a real schedule. VERIFIED 2026-09-19: Jack ran it from his own terminal against the real internet. Result: 25 captured, 1 not_linked (www.nnph.org -- SSL certificate verification failure, a real problem with that site's cert, not a script bug). Finding for Task 7: all 10 Southern Nevada Health District captures are byte-identical (1,328,468 bytes) and all 4 Senate HELP Committee captures are byte-identical (282,263 bytes) -- both sources' scraped links point at one generic meetings-listing page rather than a page specific to each meeting. The script did its job correctly; the gap is upstream in what those sources' links resolve to. 25 files committed under data/documents/ (~16MB). Task 6 Done.</t>
  </si>
  <si>
    <t xml:space="preserve">Spec §9.2 pipeline stage table, row 'Capture documents': input = meeting_documents rows with a source_file_url, output = files downloaded + capture_status updated, failure = a 404/auth wall sets capture_status back to not_linked with a logged reason.</t>
  </si>
  <si>
    <t xml:space="preserve">Query meeting_documents after a run; confirm capture_status has moved past 'not_linked' for at least one meeting with a known real agenda/minutes URL, and that the file actually downloaded.</t>
  </si>
  <si>
    <t xml:space="preserve">Extraction pipeline (OCR + LLM)</t>
  </si>
  <si>
    <t xml:space="preserve">T6</t>
  </si>
  <si>
    <t xml:space="preserve">pipeline/extract_text.py</t>
  </si>
  <si>
    <t xml:space="preserve">Needs captured documents from Task 6. pipeline/extract_text.py written and verified 2026-09-19: reads each captured file and fills in extracted_text/extraction_status. Handles .html (BeautifulSoup, scripts/styles stripped) and .pdf (pdfplumber embedded text). Deliberately does NOT implement OCR for a scanned/image PDF yet -- no document in the corpus is actually a scanned image, so there's nothing real to test that against; a no-text PDF is treated as a clean 'failed' case per the spec's own failure-handling rule instead of shipping an untested OCR path (natural fit for later: Claude's vision API, matching the existing anthropic dependency). Verified against all 25 real files Task 6 actually captured (25 extracted, 0 failed, genuine readable text confirmed -- not boilerplate) plus two synthetic test PDFs (one with real text, one with none) to prove the PDF success and failure branches, since no real PDF exists in the corpus yet. Task 7 Done.</t>
  </si>
  <si>
    <t xml:space="preserve">Spec §9.2 pipeline stage table, row 'Extract': input = captured files, output = extracted_text + extraction_status, failure = OCR/LLM failure sets extraction_status='failed', keeps prior state.</t>
  </si>
  <si>
    <t xml:space="preserve">Query a captured meeting's extracted_text column; confirm it holds real text pulled from the actual file, not null/empty, and extraction_status = success.</t>
  </si>
  <si>
    <t xml:space="preserve">Subject tagging (LLM)</t>
  </si>
  <si>
    <t xml:space="preserve">T7</t>
  </si>
  <si>
    <t xml:space="preserve">pipeline/tag_subjects.py</t>
  </si>
  <si>
    <t xml:space="preserve">Needs extracted text from Task 7 (now available -- 25/25 documents extracted). Open design question resolved: legislative_subjects has no predefined taxonomy anywhere in the design spec (confirmed via Appendix A/B/C and api/routes/subjects.py's own docstring: "no real subject taxonomy exists until Task 8"), so pipeline/tag_subjects.py builds the taxonomy as it tags -- each call gives the model every existing legislative_subjects row (grouped by policy area) and asks it to reuse an exact-name match before proposing a new one. Per spec's failure-handling rule for this stage, every tag is stored regardless of confidence (verified with mock tests, not needed on this real run since nothing came back low-confidence). A meeting_subjects row already tagged_by='human' is never overwritten by a re-tag. Verified locally first with a mocked Anthropic client across 7 scenarios (new-subject creation, reuse/dedup, low-confidence storage, human-tag protection, --force behavior, invalid-policy_area handling, default-run filtering) -- all passed. VERIFIED FOR REAL 2026-09-20: Jack ran it himself from his own terminal with his real ANTHROPIC_API_KEY. Result: 51 meeting_subjects rows across all 25 meetings, tagged_by='ai', confidence range 0.75-1.0 (avg 0.92). Built a real 14-subject taxonomy across 6 policy areas (Health, Crime and Law Enforcement, Government Operations and Politics, Energy, Economics and Public Finance, Social Welfare) -- e.g. Medicaid, Board Governance, Prescription Drug Costs, Fraud Prevention. Verify-done check passed exactly as specified: the House E&amp;C Medicaid hearing (house-ec-health-2026-06-25) got 3 real tags -- Medicaid (Health, confidence 1.0), Fraud Prevention (Crime and Law Enforcement, 0.85), Program Integrity (Government Operations and Politics, 0.8), all tagged_by='ai' -- a real subject_id and confidence score, not the old body-level admin tag standing in for it. Task 8 Done.</t>
  </si>
  <si>
    <t xml:space="preserve">Spec §4.1 meeting_subjects table (meeting_id, subject_id, confidence, tagged_by) + §9.2 pipeline stage 'Tag subjects': below-threshold confidence is stored and surfaced, never discarded.</t>
  </si>
  <si>
    <t xml:space="preserve">Query meeting_subjects for a known meeting (e.g. the House E&amp;C Medicaid hearing already in the repo); confirm a real subject_id and confidence score, tagged_by='ai' — not the old body-level admin tag standing in for it.</t>
  </si>
  <si>
    <t xml:space="preserve">Briefing generation upgrade</t>
  </si>
  <si>
    <t xml:space="preserve">In progress</t>
  </si>
  <si>
    <t xml:space="preserve">T8</t>
  </si>
  <si>
    <t xml:space="preserve">pipeline/generate_briefings.py</t>
  </si>
  <si>
    <t xml:space="preserve">Needs real subject tags from Task 8 (now available -- 51 tags across 25 meetings). Replaces the prototype's scripts/generate_briefing.py (title-only, JSON-file-based) with pipeline/generate_briefings.py, a DB-native module that grounds every note in the real captured document text (Task 7) and the meeting's real subject tags (Task 8), and records model_version -- closing exactly the gap db/schema.sql's own comment on briefings.model_version flagged: "a real gap against NFR3, not a migration artifact." Relevance gating unchanged from the prototype: briefings has no column for "checked, not relevant", and GET /api/policy-areas/{slug}/attention filters on br.id IS NOT NULL, so a not-relevant meeting simply gets no row. Confidence now carries real signal: the model is asked to notice when the captured text reads like a generic listing page rather than meeting-specific content (the exact SNHD/Senate-HELP finding from Task 6) and mark 'unverified' in that case. Verified locally with a mocked Anthropic client across 5 scenarios (relevant meeting gets a row with model_version set, not-relevant meeting gets no row, default run excludes already-briefed meetings, --force replaces cleanly not duplicates, bad model response handled without crashing) -- all passed. Real-data finding from testing: 3 of the briefings rows migrated from the old prototype are stale (title-only, model_version=NULL, pre-dating Tasks 6-8) -- a default run correctly leaves them alone, so the first real run needs --force to actually upgrade them. REAL RUN 2026-09-20 caught a genuine regression: Jack ran it with --force and the prompt's relevance and confidence judgments were entangled -- the model treated "the captured document is a generic listing page" as a reason to mark a meeting not-relevant, not just low-confidence. Concretely, nv-jisc-hhs-2026-08-11 (NV Joint Interim Committee on Health &amp; Human Services) had a real briefing under the old title-only prototype and dropped out entirely after this run, purely because its only captured document is a generic committee page (same root cause as Task 6's SNHD/Senate-HELP finding) -- a real loss of coverage, not expected behavior. Fixed by splitting the prompt into two explicit, independent judgments: relevance from the meeting's topic (title/body/tier/tagged subjects) alone, the same way it would be judged from a title with no document at all; confidence is the only place text-genericness matters. Verified the fix with a mocked client (a relevant-but-generic-text meeting now correctly still gets a row, marked unverified rather than dropped). Committed. Not yet re-run for real -- needs Jack to run --force again so the fix actually regenerates the 21 meetings the flawed prompt skipped.</t>
  </si>
  <si>
    <t xml:space="preserve">Spec §9.2 pipeline stage table, row 'Generate briefings': input = extracted_text + meeting_subjects, output = briefings rows with model_version.</t>
  </si>
  <si>
    <t xml:space="preserve">Check briefings for that same meeting; confirm the note text reflects the actual extracted agenda/minutes content, not just the meeting title the way the current generator does.</t>
  </si>
  <si>
    <t xml:space="preserve">Frontend cutover to live API</t>
  </si>
  <si>
    <t xml:space="preserve">Launch</t>
  </si>
  <si>
    <t xml:space="preserve">Not started</t>
  </si>
  <si>
    <t xml:space="preserve">T5, T9, T4</t>
  </si>
  <si>
    <t xml:space="preserve">templates/overview.html.j2; templates/health.html.j2; templates/subject.html.j2; static/docket.css; static/docket.js; .github/workflows/weekly-refresh.yml; README.md; retires data/*.json and scripts/render_site.py</t>
  </si>
  <si>
    <t xml:space="preserve">Per spec §8, this is the single final task — ports the prototype's screens to the live API AND cuts over hosting/CI in one step, rather than two separate tasks.</t>
  </si>
  <si>
    <t xml:space="preserve">Spec §7 Frontend Implementation Approach + §6 (swap each screen's hardcoded JS array for a fetch() call to its matching endpoint).</t>
  </si>
  <si>
    <t xml:space="preserve">Open the live hosted site; confirm the Medicaid subject page pulls from the real API (Network tab shows a fetch to /api/subjects/medicaid, not a hardcoded array) and the Overview grid's counts match a direct query against the database.</t>
  </si>
  <si>
    <t xml:space="preserve">Phase legend:</t>
  </si>
  <si>
    <t xml:space="preserve">Session log — append one row per session, don't overwrite prior rows</t>
  </si>
  <si>
    <t xml:space="preserve">Date</t>
  </si>
  <si>
    <t xml:space="preserve">What changed</t>
  </si>
  <si>
    <t xml:space="preserve">Task status changes</t>
  </si>
  <si>
    <t xml:space="preserve">2026-09-19</t>
  </si>
  <si>
    <t xml:space="preserve">Rebuilt this Task Plan's 10 rows to match policy-docket-design-spec.docx §8 Build Plan (previously based on the outdated “Docket Build Map” artifact, which used a different task split and dependency set). Added the Design reference and Verify done columns.</t>
  </si>
  <si>
    <t xml:space="preserve">No task status changed by this rebuild. Task 1 remains In progress (unchanged from prior session).</t>
  </si>
  <si>
    <t xml:space="preserve">Ran db/migrate.py for the first time and verified Task 1's Verify-done check (row counts against meetings.json/briefing.json + PRAGMA foreign_key_check, zero orphans). Also committed a .gitignore fix (db/health_docket.db ignored) that had been sitting uncommitted in the working tree since an earlier session.</t>
  </si>
  <si>
    <t xml:space="preserve">Task 1 (Design &amp; migrate schema): In progress -&gt; Done.</t>
  </si>
  <si>
    <t xml:space="preserve">Task 2: fixed the nnph-dboh body_name bug in config/sources.yaml ('District Board of Health' -&gt; 'Northern Nevada Public Health'). Confirmed the Legistar JSON API 500s for this client (not usable); confirmed via the live calendar page that the corrected name matches a real, currently-listed meeting. Could not run scrapers/legistar.py itself end-to-end — outbound calls to legistar.com are blocked by network policy in both sandboxes available this session. Re-ran db/migrate.py so the database picks up the fix.</t>
  </si>
  <si>
    <t xml:space="preserve">Task 2 (Verify Legistar API access): Not started -&gt; Done (with one caveat noted in Notes).</t>
  </si>
  <si>
    <t xml:space="preserve">Task 3 recon (not started, not done): checked whether the sandboxes available this session can reach leg.state.nv.us to test/fix the NELIS scraper's selectors. They can't — blocked by network policy in both Claude's cloud workspace and the sandboxed shell on Jack's Mac (Playwright isn't even installed on the Mac's sandbox). Confirmed a plain fetch of the real meetings page returns zero meeting rows (JS-rendered page), matching the scraper's own docstring warning. Left a ready-to-run command in STATUS.md for Jack to test this himself from his own terminal, where network isn't restricted.</t>
  </si>
  <si>
    <t xml:space="preserve">No task status changed. Task 3 remains Not started — recon only, real fix needs Jack's own terminal.</t>
  </si>
  <si>
    <t xml:space="preserve">Task 3 verified: Jack ran scrapers/nelis.py himself from his own terminal (the only environment able to reach leg.state.nv.us this session) and got 7 real meetings back, not an empty list. Selectors work as-is — no code changes needed.</t>
  </si>
  <si>
    <t xml:space="preserve">Task 3 (Harden NELIS scraper selectors): Not started -&gt; Done.</t>
  </si>
  <si>
    <t xml:space="preserve">Task 4: Jack created the Render account (the one step in the plan that had to be him). Researched Render's actual pricing to size the deployment correctly — confirmed the free tier is a trap for this project (Postgres auto-deletes after ~44 days), settled on Hobby workspace + paid web service + paid Postgres, ~$13/month. No Render service or database created yet — that happens with Task 5, since there's no code to deploy until then.</t>
  </si>
  <si>
    <t xml:space="preserve">Task 4 (Provision hosting): Not started -&gt; In progress (account created; service/DB creation deferred to Task 5).</t>
  </si>
  <si>
    <t xml:space="preserve">Task 5: wrote the full Backend API (api/main.py, api/db.py, and route modules for policy-areas, subjects, focus-areas, plus a bonus health check) per design spec §6. Installed fastapi + uvicorn, rebuilt the database, ran the server locally and curled every endpoint end to end, including the 404/400 error paths and the focus-area upsert-by-name behavior — all matched the Verify-done check exactly. Committed to git (api/ + requirements.txt) but not yet pushed to GitHub as of this row.</t>
  </si>
  <si>
    <t xml:space="preserve">Task 5 (Backend API): Not started -&gt; Done.</t>
  </si>
  <si>
    <t xml:space="preserve">Task 4: caught and corrected an earlier mistake on this row — the Postgres add-on picked before Task 5 existed didn't actually match the design spec's own SQLite recommendation or the code Task 5 wrote. Switched to SQLite + a small Render persistent disk, verified the exact plan names and prices against Render's live docs and pricing page (0.5c-512mb = $7/mo, disk = $0.25/GB/mo), wrote deploy/render.yaml + deploy/.env.example, added a DATABASE_PATH override to api/db.py and db/migrate.py (fixing a bug that surfaced during testing), and simulated the full deploy locally end to end. Still needs Jack to create the Blueprint on Render himself (billing approval) before the live-URL verify-done check can run.</t>
  </si>
  <si>
    <t xml:space="preserve">Task 4 (Provision hosting): In progress, plan corrected from Postgres to SQLite+disk. Not yet Done — waiting on Jack to create the Blueprint in the Render dashboard.</t>
  </si>
  <si>
    <t xml:space="preserve">Task 4: deployed the Render Blueprint (Jack clicked Deploy). First deploy came up degraded -- a real bug where Render marked the service successfully deployed before the one-time database build had actually run, so every data endpoint 500'd. Diagnosed via the Render dashboard logs (found the exact RuntimeError together with Jack), fixed by moving the database build into startCommand itself so it runs before the server accepts traffic, tested the exact fix locally first, then pushed -- Render auto-synced and redeployed. Verified the live URL from an outside network: /api/health and /api/policy-areas both return correct, real data. Task 4 Done -- all 10 build-plan tasks through Task 5 are now complete.</t>
  </si>
  <si>
    <t xml:space="preserve">Task 4 (Provision hosting): In progress -&gt; Done.</t>
  </si>
  <si>
    <t xml:space="preserve">Task 6 started: wrote pipeline/capture_documents.py, which downloads each meeting_documents row's linked file and updates capture_status (captured / not_linked) per spec §5. Made and documented a storage-location call the spec left open (git-committed under data/documents/, not cloud storage). Verified the logic against a local mock server since the real source sites are blocked from both sandboxes this session. Committed and pushed. Not marked Done yet -- needs Jack to run it against the real internet from his own terminal to confirm actual downloads, same as Task 3.</t>
  </si>
  <si>
    <t xml:space="preserve">Task 6 (Document capture pipeline): Not started -&gt; In progress.</t>
  </si>
  <si>
    <t xml:space="preserve">Task 6 verified: Jack ran pipeline/capture_documents.py from his own terminal against the real internet. 25 of 26 documents captured; 1 not_linked (nnph.org SSL cert failure, a real site problem, not a script bug). Flagged a real finding for Task 7: 10 SNHD and 4 Senate HELP captures are byte-identical within their group -- those two sources only ever link to one generic meetings-listing page, not a page per meeting, so those particular captures are not yet meeting-specific content. Committed the 25 captured files under data/documents/ (~16MB) and pushed.</t>
  </si>
  <si>
    <t xml:space="preserve">Task 6 (Document capture pipeline): In progress -&gt; Done.</t>
  </si>
  <si>
    <t xml:space="preserve">Task 7: wrote pipeline/extract_text.py per spec §5's Extract stage. Handles HTML (BeautifulSoup) and PDF (pdfplumber) captures; scoped OCR out for now since no scanned-image document exists in the corpus to build and verify that against -- a no-text PDF cleanly fails instead, per spec's own rule. Verified against all 25 real files Task 6 captured (25/25 extracted, real readable text confirmed) plus two synthetic PDFs to prove the PDF branches. Committed and pushed.</t>
  </si>
  <si>
    <t xml:space="preserve">Task 7 (Extraction pipeline): Not started -&gt; Done.</t>
  </si>
  <si>
    <t xml:space="preserve">Task 8: resolved the open design question -- legislative_subjects has no predefined taxonomy anywhere in the spec (confirmed via Appendix A/B/C and api/routes/subjects.py's own docstring), so the design is for the LLM to build the taxonomy as it tags, reusing existing subject names by exact match before proposing new ones. Wrote pipeline/tag_subjects.py per spec §5/§9.2's Tag-subjects stage: stores every tag regardless of confidence (never discards below-threshold), protects human-confirmed tags from being overwritten by a re-tag. Verified locally with a mocked Anthropic client across 7 scenarios (new subject creation, subject reuse/dedup, low-confidence storage, human-tag protection under --force, stale-tag replacement under --force, invalid-policy_area handling, default-run filtering) -- all passed. Rebuilt the local database fresh (migrate.py + reconciled capture_status for the 25 already-committed files + re-ran extract_text.py) to confirm the script runs cleanly against real extracted text end to end, short of the actual API call. Committed and pushed. Not marked Done yet -- needs Jack to run it for real with ANTHROPIC_API_KEY set, same pattern as Tasks 3 and 6.</t>
  </si>
  <si>
    <t xml:space="preserve">Task 8 (Subject tagging): Not started -&gt; In progress.</t>
  </si>
  <si>
    <t xml:space="preserve">2026-09-20</t>
  </si>
  <si>
    <t xml:space="preserve">Task 8 verified for real: Jack ran pipeline/tag_subjects.py from his own terminal with his real ANTHROPIC_API_KEY (took a few tries to get the key correctly exported into his shell -- a stray character was breaking the export each time, fixed by having him type the export prefix himself and paste only the key value after the '='). Real run: 51 meeting_subjects rows stored across all 25 meetings, tagged_by='ai', confidence 0.75-1.0 (avg 0.92), building a genuine 14-subject taxonomy across 6 policy areas from scratch, as designed -- no predefined list existed. Verify-done check passed: the House E&amp;C Medicaid hearing got 3 sensible real tags (Medicaid 1.0, Fraud Prevention 0.85, Program Integrity 0.8), all tagged_by='ai' with real subject_ids. Task 8 marked Done.</t>
  </si>
  <si>
    <t xml:space="preserve">Task 8 (Subject tagging): In progress -&gt; Done.</t>
  </si>
  <si>
    <t xml:space="preserve">Task 9: wrote pipeline/generate_briefings.py per spec §5's Generate-briefings stage, replacing the prototype's title-only scripts/generate_briefing.py. Grounds every note in real extracted_text (Task 7) plus the meeting's real subject tags (Task 8) instead of just the meeting title, and records model_version -- closing a gap the schema's own comment flagged as real, not cosmetic. Confidence now self-assesses whether the underlying captured text is actually meeting-specific or a generic listing page (accounting for Task 6's SNHD/Senate-HELP finding). Verified locally with a mocked Anthropic client across 5 scenarios -- all passed. Testing surfaced a real finding: 3 briefings rows migrated from the old prototype are stale (model_version=NULL) and won't be touched without --force. Committed and pushed. Not marked Done yet -- needs Jack to run it for real with ANTHROPIC_API_KEY set (--force, to also upgrade the 3 stale rows), same pattern as Task 8.</t>
  </si>
  <si>
    <t xml:space="preserve">Task 9 (Briefing generation upgrade): Not started -&gt; In progress.</t>
  </si>
  <si>
    <t xml:space="preserve">Task 9: Jack ran pipeline/generate_briefings.py --force for real. Result exposed a real bug: 21 of 24 eligible meetings were marked not-relevant, most citing the captured document being a generic listing page as the reason -- including nv-jisc-hhs-2026-08-11, which the OLD title-only prototype had correctly flagged as relevant. The new prompt let text-genericness (which should only affect confidence) leak into the relevance judgment, silently losing real coverage. Fixed by rewriting the prompt to make relevance and confidence two explicit, independent judgments -- relevance from meeting topic alone, confidence from text specificity. Verified the fix locally with a mocked client. Committed. Not marked Done -- needs Jack to re-run --force with the fixed prompt before Verify-done can be confirmed against real, correct output.</t>
  </si>
  <si>
    <t xml:space="preserve">Task 9 (Briefing generation upgrade): still In progress -- real run found a bug, fixed, awaiting re-run.</t>
  </si>
  <si>
    <t xml:space="preserve">Health Docket — Gantt (auto-updates from Task Plan)</t>
  </si>
  <si>
    <t xml:space="preserve">Change dates/durations/status on the Task Plan tab — this chart redraws itself.</t>
  </si>
  <si>
    <t xml:space="preserve">Task (status)</t>
  </si>
  <si>
    <t xml:space="preserve">StartOff</t>
  </si>
  <si>
    <t xml:space="preserve">EndOff</t>
  </si>
</sst>
</file>

<file path=xl/styles.xml><?xml version="1.0" encoding="utf-8"?>
<styleSheet xmlns="http://schemas.openxmlformats.org/spreadsheetml/2006/main">
  <numFmts count="4">
    <numFmt numFmtId="164" formatCode="General"/>
    <numFmt numFmtId="165" formatCode="yyyy\-mm\-dd"/>
    <numFmt numFmtId="166" formatCode="m/d"/>
    <numFmt numFmtId="167" formatCode="General"/>
  </numFmts>
  <fonts count="16">
    <font>
      <sz val="11"/>
      <color theme="1"/>
      <name val="Calibri"/>
      <family val="2"/>
      <charset val="1"/>
    </font>
    <font>
      <sz val="10"/>
      <name val="Arial"/>
      <family val="0"/>
    </font>
    <font>
      <sz val="10"/>
      <name val="Arial"/>
      <family val="0"/>
    </font>
    <font>
      <sz val="10"/>
      <name val="Arial"/>
      <family val="0"/>
    </font>
    <font>
      <b val="true"/>
      <sz val="14"/>
      <name val="Arial"/>
      <family val="0"/>
      <charset val="1"/>
    </font>
    <font>
      <i val="true"/>
      <sz val="10"/>
      <color rgb="FF666666"/>
      <name val="Arial"/>
      <family val="0"/>
      <charset val="1"/>
    </font>
    <font>
      <b val="true"/>
      <sz val="11"/>
      <name val="Arial"/>
      <family val="0"/>
      <charset val="1"/>
    </font>
    <font>
      <sz val="11"/>
      <color rgb="FF0000FF"/>
      <name val="Arial"/>
      <family val="0"/>
      <charset val="1"/>
    </font>
    <font>
      <b val="true"/>
      <sz val="11"/>
      <color rgb="FFFFFFFF"/>
      <name val="Arial"/>
      <family val="0"/>
      <charset val="1"/>
    </font>
    <font>
      <sz val="11"/>
      <name val="Arial"/>
      <family val="0"/>
      <charset val="1"/>
    </font>
    <font>
      <sz val="9"/>
      <name val="Arial"/>
      <family val="0"/>
      <charset val="1"/>
    </font>
    <font>
      <i val="true"/>
      <sz val="9"/>
      <name val="Arial"/>
      <family val="0"/>
      <charset val="1"/>
    </font>
    <font>
      <sz val="9"/>
      <color rgb="FF1F5C2E"/>
      <name val="Arial"/>
      <family val="0"/>
      <charset val="1"/>
    </font>
    <font>
      <sz val="7"/>
      <color rgb="FF999999"/>
      <name val="Arial"/>
      <family val="0"/>
      <charset val="1"/>
    </font>
    <font>
      <b val="true"/>
      <sz val="8"/>
      <name val="Arial"/>
      <family val="0"/>
      <charset val="1"/>
    </font>
    <font>
      <sz val="8"/>
      <color rgb="FFAAAAAA"/>
      <name val="Arial"/>
      <family val="0"/>
      <charset val="1"/>
    </font>
  </fonts>
  <fills count="14">
    <fill>
      <patternFill patternType="none"/>
    </fill>
    <fill>
      <patternFill patternType="gray125"/>
    </fill>
    <fill>
      <patternFill patternType="solid">
        <fgColor rgb="FFFFFF00"/>
        <bgColor rgb="FFFFFF00"/>
      </patternFill>
    </fill>
    <fill>
      <patternFill patternType="solid">
        <fgColor rgb="FF22262B"/>
        <bgColor rgb="FF333300"/>
      </patternFill>
    </fill>
    <fill>
      <patternFill patternType="solid">
        <fgColor rgb="FFDCE1EC"/>
        <bgColor rgb="FFDCEADF"/>
      </patternFill>
    </fill>
    <fill>
      <patternFill patternType="solid">
        <fgColor rgb="FFFFF2CC"/>
        <bgColor rgb="FFF2F2F2"/>
      </patternFill>
    </fill>
    <fill>
      <patternFill patternType="solid">
        <fgColor rgb="FFF2F2F2"/>
        <bgColor rgb="FFFFFFFF"/>
      </patternFill>
    </fill>
    <fill>
      <patternFill patternType="solid">
        <fgColor rgb="FFDCEADF"/>
        <bgColor rgb="FFDCE1EC"/>
      </patternFill>
    </fill>
    <fill>
      <patternFill patternType="solid">
        <fgColor rgb="FFE9CDBF"/>
        <bgColor rgb="FFEEE0CB"/>
      </patternFill>
    </fill>
    <fill>
      <patternFill patternType="solid">
        <fgColor rgb="FFEEE0CB"/>
        <bgColor rgb="FFDCEADF"/>
      </patternFill>
    </fill>
    <fill>
      <patternFill patternType="solid">
        <fgColor rgb="FF3B4A6B"/>
        <bgColor rgb="FF3F6B4E"/>
      </patternFill>
    </fill>
    <fill>
      <patternFill patternType="solid">
        <fgColor rgb="FFA9402A"/>
        <bgColor rgb="FF993366"/>
      </patternFill>
    </fill>
    <fill>
      <patternFill patternType="solid">
        <fgColor rgb="FF3F6B4E"/>
        <bgColor rgb="FF666666"/>
      </patternFill>
    </fill>
    <fill>
      <patternFill patternType="solid">
        <fgColor rgb="FF8A5A2B"/>
        <bgColor rgb="FFA9402A"/>
      </patternFill>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1">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true" applyAlignment="true" applyProtection="false">
      <alignment horizontal="general" vertical="bottom" textRotation="0" wrapText="false" indent="0" shrinkToFit="false"/>
      <protection locked="true" hidden="false"/>
    </xf>
    <xf numFmtId="164" fontId="5" fillId="0" borderId="0" xfId="0" applyFont="true" applyBorder="true" applyAlignment="tru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bottom" textRotation="0" wrapText="false" indent="0" shrinkToFit="false"/>
      <protection locked="true" hidden="false"/>
    </xf>
    <xf numFmtId="165" fontId="7" fillId="2" borderId="0" xfId="0" applyFont="true" applyBorder="false" applyAlignment="true" applyProtection="false">
      <alignment horizontal="general" vertical="bottom" textRotation="0" wrapText="false" indent="0" shrinkToFit="false"/>
      <protection locked="true" hidden="false"/>
    </xf>
    <xf numFmtId="165" fontId="0" fillId="0" borderId="0" xfId="0" applyFont="false" applyBorder="false" applyAlignment="true" applyProtection="false">
      <alignment horizontal="general" vertical="bottom" textRotation="0" wrapText="false" indent="0" shrinkToFit="false"/>
      <protection locked="true" hidden="false"/>
    </xf>
    <xf numFmtId="164" fontId="8" fillId="3" borderId="0" xfId="0" applyFont="true" applyBorder="false" applyAlignment="true" applyProtection="false">
      <alignment horizontal="general" vertical="center" textRotation="0" wrapText="true" indent="0" shrinkToFit="false"/>
      <protection locked="true" hidden="false"/>
    </xf>
    <xf numFmtId="164" fontId="9" fillId="0" borderId="0" xfId="0" applyFont="true" applyBorder="false" applyAlignment="true" applyProtection="false">
      <alignment horizontal="general" vertical="bottom" textRotation="0" wrapText="false" indent="0" shrinkToFit="false"/>
      <protection locked="true" hidden="false"/>
    </xf>
    <xf numFmtId="164" fontId="9" fillId="4" borderId="0" xfId="0" applyFont="true" applyBorder="false" applyAlignment="true" applyProtection="false">
      <alignment horizontal="general" vertical="bottom" textRotation="0" wrapText="false" indent="0" shrinkToFit="false"/>
      <protection locked="true" hidden="false"/>
    </xf>
    <xf numFmtId="164" fontId="6" fillId="5" borderId="0" xfId="0" applyFont="true" applyBorder="false" applyAlignment="true" applyProtection="false">
      <alignment horizontal="general" vertical="bottom" textRotation="0" wrapText="false" indent="0" shrinkToFit="false"/>
      <protection locked="true" hidden="false"/>
    </xf>
    <xf numFmtId="164" fontId="7" fillId="2" borderId="0" xfId="0" applyFont="true" applyBorder="false" applyAlignment="true" applyProtection="false">
      <alignment horizontal="general" vertical="bottom" textRotation="0" wrapText="false" indent="0" shrinkToFit="false"/>
      <protection locked="true" hidden="false"/>
    </xf>
    <xf numFmtId="165" fontId="9" fillId="0" borderId="0" xfId="0" applyFont="true" applyBorder="false" applyAlignment="true" applyProtection="false">
      <alignment horizontal="general" vertical="bottom" textRotation="0" wrapText="false" indent="0" shrinkToFit="false"/>
      <protection locked="true" hidden="false"/>
    </xf>
    <xf numFmtId="164" fontId="10" fillId="0" borderId="0" xfId="0" applyFont="true" applyBorder="false" applyAlignment="true" applyProtection="false">
      <alignment horizontal="general" vertical="top" textRotation="0" wrapText="true" indent="0" shrinkToFit="false"/>
      <protection locked="true" hidden="false"/>
    </xf>
    <xf numFmtId="164" fontId="11" fillId="0" borderId="0" xfId="0" applyFont="true" applyBorder="false" applyAlignment="true" applyProtection="false">
      <alignment horizontal="general" vertical="top" textRotation="0" wrapText="true" indent="0" shrinkToFit="false"/>
      <protection locked="true" hidden="false"/>
    </xf>
    <xf numFmtId="164" fontId="12" fillId="0" borderId="0" xfId="0" applyFont="true" applyBorder="false" applyAlignment="true" applyProtection="false">
      <alignment horizontal="general" vertical="top" textRotation="0" wrapText="true" indent="0" shrinkToFit="false"/>
      <protection locked="true" hidden="false"/>
    </xf>
    <xf numFmtId="164" fontId="6" fillId="6" borderId="0" xfId="0" applyFont="true" applyBorder="false" applyAlignment="true" applyProtection="false">
      <alignment horizontal="general" vertical="bottom" textRotation="0" wrapText="false" indent="0" shrinkToFit="false"/>
      <protection locked="true" hidden="false"/>
    </xf>
    <xf numFmtId="164" fontId="9" fillId="7" borderId="0" xfId="0" applyFont="true" applyBorder="false" applyAlignment="true" applyProtection="false">
      <alignment horizontal="general" vertical="bottom" textRotation="0" wrapText="false" indent="0" shrinkToFit="false"/>
      <protection locked="true" hidden="false"/>
    </xf>
    <xf numFmtId="164" fontId="9" fillId="8" borderId="0" xfId="0" applyFont="true" applyBorder="false" applyAlignment="true" applyProtection="false">
      <alignment horizontal="general" vertical="bottom" textRotation="0" wrapText="false" indent="0" shrinkToFit="false"/>
      <protection locked="true" hidden="false"/>
    </xf>
    <xf numFmtId="164" fontId="9" fillId="9" borderId="0" xfId="0" applyFont="true" applyBorder="false" applyAlignment="true" applyProtection="false">
      <alignment horizontal="general" vertical="bottom" textRotation="0" wrapText="false" indent="0" shrinkToFit="false"/>
      <protection locked="true" hidden="false"/>
    </xf>
    <xf numFmtId="164" fontId="8" fillId="10" borderId="0" xfId="0" applyFont="true" applyBorder="false" applyAlignment="true" applyProtection="false">
      <alignment horizontal="general" vertical="bottom" textRotation="0" wrapText="false" indent="0" shrinkToFit="false"/>
      <protection locked="true" hidden="false"/>
    </xf>
    <xf numFmtId="164" fontId="8" fillId="11" borderId="0" xfId="0" applyFont="true" applyBorder="false" applyAlignment="true" applyProtection="false">
      <alignment horizontal="general" vertical="bottom" textRotation="0" wrapText="false" indent="0" shrinkToFit="false"/>
      <protection locked="true" hidden="false"/>
    </xf>
    <xf numFmtId="164" fontId="8" fillId="12" borderId="0" xfId="0" applyFont="true" applyBorder="false" applyAlignment="true" applyProtection="false">
      <alignment horizontal="general" vertical="bottom" textRotation="0" wrapText="false" indent="0" shrinkToFit="false"/>
      <protection locked="true" hidden="false"/>
    </xf>
    <xf numFmtId="164" fontId="8" fillId="13" borderId="0" xfId="0" applyFont="true" applyBorder="false" applyAlignment="true" applyProtection="false">
      <alignment horizontal="general" vertical="bottom" textRotation="0" wrapText="false" indent="0" shrinkToFit="false"/>
      <protection locked="true" hidden="false"/>
    </xf>
    <xf numFmtId="164" fontId="8" fillId="3" borderId="0" xfId="0" applyFont="true" applyBorder="false" applyAlignment="true" applyProtection="false">
      <alignment horizontal="general" vertical="bottom" textRotation="0" wrapText="false" indent="0" shrinkToFit="false"/>
      <protection locked="true" hidden="false"/>
    </xf>
    <xf numFmtId="164" fontId="13" fillId="0" borderId="0" xfId="0" applyFont="true" applyBorder="false" applyAlignment="true" applyProtection="false">
      <alignment horizontal="center" vertical="bottom" textRotation="0" wrapText="false" indent="0" shrinkToFit="false"/>
      <protection locked="true" hidden="false"/>
    </xf>
    <xf numFmtId="164" fontId="14" fillId="0" borderId="0" xfId="0" applyFont="true" applyBorder="false" applyAlignment="true" applyProtection="false">
      <alignment horizontal="general" vertical="bottom" textRotation="0" wrapText="false" indent="0" shrinkToFit="false"/>
      <protection locked="true" hidden="false"/>
    </xf>
    <xf numFmtId="166" fontId="13" fillId="0" borderId="0" xfId="0" applyFont="true" applyBorder="false" applyAlignment="true" applyProtection="false">
      <alignment horizontal="center" vertical="bottom" textRotation="90" wrapText="false" indent="0" shrinkToFit="false"/>
      <protection locked="true" hidden="false"/>
    </xf>
    <xf numFmtId="164" fontId="9" fillId="0" borderId="0" xfId="0" applyFont="true" applyBorder="false" applyAlignment="true" applyProtection="false">
      <alignment horizontal="general" vertical="center" textRotation="0" wrapText="false" indent="0" shrinkToFit="false"/>
      <protection locked="true" hidden="false"/>
    </xf>
    <xf numFmtId="164" fontId="10" fillId="0" borderId="0" xfId="0" applyFont="true" applyBorder="false" applyAlignment="true" applyProtection="false">
      <alignment horizontal="general" vertical="bottom" textRotation="0" wrapText="false" indent="0" shrinkToFit="false"/>
      <protection locked="true" hidden="false"/>
    </xf>
    <xf numFmtId="167" fontId="15" fillId="0" borderId="0" xfId="0" applyFont="true" applyBorder="false" applyAlignment="tru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5">
    <dxf>
      <fill>
        <patternFill>
          <bgColor rgb="FF3B4A6B"/>
        </patternFill>
      </fill>
    </dxf>
    <dxf>
      <fill>
        <patternFill>
          <bgColor rgb="FFA9402A"/>
        </patternFill>
      </fill>
    </dxf>
    <dxf>
      <fill>
        <patternFill>
          <bgColor rgb="FF3F6B4E"/>
        </patternFill>
      </fill>
    </dxf>
    <dxf>
      <fill>
        <patternFill>
          <bgColor rgb="FF8A5A2B"/>
        </patternFill>
      </fill>
    </dxf>
    <dxf>
      <fill>
        <patternFill>
          <bgColor rgb="FFFF0000"/>
        </patternFill>
      </fill>
    </dxf>
  </dxfs>
  <colors>
    <indexedColors>
      <rgbColor rgb="FF000000"/>
      <rgbColor rgb="FFFFFFFF"/>
      <rgbColor rgb="FFFF0000"/>
      <rgbColor rgb="FF00FF00"/>
      <rgbColor rgb="FF0000FF"/>
      <rgbColor rgb="FFFFFF00"/>
      <rgbColor rgb="FFFF00FF"/>
      <rgbColor rgb="FF00FFFF"/>
      <rgbColor rgb="FF800000"/>
      <rgbColor rgb="FF1F5C2E"/>
      <rgbColor rgb="FF000080"/>
      <rgbColor rgb="FF8A5A2B"/>
      <rgbColor rgb="FF800080"/>
      <rgbColor rgb="FF008080"/>
      <rgbColor rgb="FFAAAAAA"/>
      <rgbColor rgb="FF808080"/>
      <rgbColor rgb="FF9999FF"/>
      <rgbColor rgb="FF993366"/>
      <rgbColor rgb="FFFFF2CC"/>
      <rgbColor rgb="FFF2F2F2"/>
      <rgbColor rgb="FF660066"/>
      <rgbColor rgb="FFFF8080"/>
      <rgbColor rgb="FF0066CC"/>
      <rgbColor rgb="FFDCE1EC"/>
      <rgbColor rgb="FF000080"/>
      <rgbColor rgb="FFFF00FF"/>
      <rgbColor rgb="FFFFFF00"/>
      <rgbColor rgb="FF00FFFF"/>
      <rgbColor rgb="FF800080"/>
      <rgbColor rgb="FF800000"/>
      <rgbColor rgb="FF008080"/>
      <rgbColor rgb="FF0000FF"/>
      <rgbColor rgb="FF00CCFF"/>
      <rgbColor rgb="FFCCFFFF"/>
      <rgbColor rgb="FFDCEADF"/>
      <rgbColor rgb="FFEEE0CB"/>
      <rgbColor rgb="FF99CCFF"/>
      <rgbColor rgb="FFFF99CC"/>
      <rgbColor rgb="FFCC99FF"/>
      <rgbColor rgb="FFE9CDBF"/>
      <rgbColor rgb="FF3366FF"/>
      <rgbColor rgb="FF33CCCC"/>
      <rgbColor rgb="FF99CC00"/>
      <rgbColor rgb="FFFFCC00"/>
      <rgbColor rgb="FFFF9900"/>
      <rgbColor rgb="FFFF6600"/>
      <rgbColor rgb="FF666666"/>
      <rgbColor rgb="FF999999"/>
      <rgbColor rgb="FF003366"/>
      <rgbColor rgb="FF3F6B4E"/>
      <rgbColor rgb="FF003300"/>
      <rgbColor rgb="FF333300"/>
      <rgbColor rgb="FFA9402A"/>
      <rgbColor rgb="FF993366"/>
      <rgbColor rgb="FF3B4A6B"/>
      <rgbColor rgb="FF22262B"/>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40"/>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0" ySplit="7" topLeftCell="A8"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12"/>
    <col collapsed="false" customWidth="true" hidden="false" outlineLevel="0" max="2" min="2" style="1" width="26"/>
    <col collapsed="false" customWidth="true" hidden="false" outlineLevel="0" max="3" min="3" style="1" width="15"/>
    <col collapsed="false" customWidth="true" hidden="false" outlineLevel="0" max="4" min="4" style="1" width="13"/>
    <col collapsed="false" customWidth="true" hidden="false" outlineLevel="0" max="5" min="5" style="1" width="14"/>
    <col collapsed="false" customWidth="true" hidden="false" outlineLevel="0" max="6" min="6" style="1" width="12"/>
    <col collapsed="false" customWidth="true" hidden="false" outlineLevel="0" max="8" min="7" style="1" width="10"/>
    <col collapsed="false" customWidth="true" hidden="false" outlineLevel="0" max="10" min="9" style="1" width="12"/>
    <col collapsed="false" customWidth="true" hidden="false" outlineLevel="0" max="11" min="11" style="1" width="30"/>
    <col collapsed="false" customWidth="true" hidden="false" outlineLevel="0" max="12" min="12" style="1" width="34"/>
    <col collapsed="false" customWidth="true" hidden="false" outlineLevel="0" max="13" min="13" style="1" width="40"/>
    <col collapsed="false" customWidth="true" hidden="false" outlineLevel="0" max="14" min="14" style="1" width="44"/>
  </cols>
  <sheetData>
    <row r="1" customFormat="false" ht="17.25" hidden="false" customHeight="true" outlineLevel="0" collapsed="false">
      <c r="A1" s="2" t="s">
        <v>0</v>
      </c>
      <c r="B1" s="2"/>
      <c r="C1" s="2"/>
      <c r="D1" s="2"/>
      <c r="E1" s="2"/>
      <c r="F1" s="2"/>
      <c r="G1" s="2"/>
      <c r="H1" s="2"/>
      <c r="I1" s="2"/>
      <c r="J1" s="2"/>
      <c r="K1" s="2"/>
      <c r="L1" s="2"/>
      <c r="M1" s="2"/>
      <c r="N1" s="2"/>
    </row>
    <row r="2" customFormat="false" ht="15" hidden="false" customHeight="true" outlineLevel="0" collapsed="false">
      <c r="A2" s="3" t="s">
        <v>1</v>
      </c>
      <c r="B2" s="3"/>
      <c r="C2" s="3"/>
      <c r="D2" s="3"/>
      <c r="E2" s="3"/>
      <c r="F2" s="3"/>
      <c r="G2" s="3"/>
      <c r="H2" s="3"/>
      <c r="I2" s="3"/>
      <c r="J2" s="3"/>
      <c r="K2" s="3"/>
      <c r="L2" s="3"/>
      <c r="M2" s="3"/>
      <c r="N2" s="3"/>
    </row>
    <row r="4" customFormat="false" ht="15" hidden="false" customHeight="true" outlineLevel="0" collapsed="false">
      <c r="A4" s="4" t="s">
        <v>2</v>
      </c>
      <c r="B4" s="5" t="s">
        <v>3</v>
      </c>
    </row>
    <row r="5" customFormat="false" ht="15" hidden="false" customHeight="true" outlineLevel="0" collapsed="false">
      <c r="A5" s="4" t="s">
        <v>4</v>
      </c>
      <c r="B5" s="6" t="n">
        <f aca="true">TODAY()</f>
        <v>46285</v>
      </c>
    </row>
    <row r="7" customFormat="false" ht="51.75" hidden="false" customHeight="true" outlineLevel="0" collapsed="false">
      <c r="A7" s="7" t="s">
        <v>5</v>
      </c>
      <c r="B7" s="7" t="s">
        <v>6</v>
      </c>
      <c r="C7" s="7" t="s">
        <v>7</v>
      </c>
      <c r="D7" s="7" t="s">
        <v>8</v>
      </c>
      <c r="E7" s="7" t="s">
        <v>9</v>
      </c>
      <c r="F7" s="7" t="s">
        <v>10</v>
      </c>
      <c r="G7" s="7" t="s">
        <v>11</v>
      </c>
      <c r="H7" s="7" t="s">
        <v>12</v>
      </c>
      <c r="I7" s="7" t="s">
        <v>13</v>
      </c>
      <c r="J7" s="7" t="s">
        <v>14</v>
      </c>
      <c r="K7" s="7" t="s">
        <v>15</v>
      </c>
      <c r="L7" s="7" t="s">
        <v>16</v>
      </c>
      <c r="M7" s="7" t="s">
        <v>17</v>
      </c>
      <c r="N7" s="7" t="s">
        <v>18</v>
      </c>
    </row>
    <row r="8" customFormat="false" ht="31.5" hidden="false" customHeight="true" outlineLevel="0" collapsed="false">
      <c r="A8" s="8" t="n">
        <v>1</v>
      </c>
      <c r="B8" s="8" t="s">
        <v>19</v>
      </c>
      <c r="C8" s="9" t="s">
        <v>20</v>
      </c>
      <c r="D8" s="10" t="s">
        <v>21</v>
      </c>
      <c r="E8" s="8" t="s">
        <v>22</v>
      </c>
      <c r="F8" s="11" t="n">
        <v>7</v>
      </c>
      <c r="G8" s="11" t="n">
        <v>0</v>
      </c>
      <c r="H8" s="8" t="n">
        <f aca="false">G8+F8-1</f>
        <v>6</v>
      </c>
      <c r="I8" s="12" t="n">
        <f aca="false">$B$4+G8</f>
        <v>46287</v>
      </c>
      <c r="J8" s="12" t="n">
        <f aca="false">$B$4+H8</f>
        <v>46293</v>
      </c>
      <c r="K8" s="13" t="s">
        <v>23</v>
      </c>
      <c r="L8" s="14" t="s">
        <v>24</v>
      </c>
      <c r="M8" s="13" t="s">
        <v>25</v>
      </c>
      <c r="N8" s="15" t="s">
        <v>26</v>
      </c>
    </row>
    <row r="9" customFormat="false" ht="31.5" hidden="false" customHeight="true" outlineLevel="0" collapsed="false">
      <c r="A9" s="8" t="n">
        <v>2</v>
      </c>
      <c r="B9" s="8" t="s">
        <v>27</v>
      </c>
      <c r="C9" s="9" t="s">
        <v>20</v>
      </c>
      <c r="D9" s="16" t="s">
        <v>21</v>
      </c>
      <c r="E9" s="8" t="s">
        <v>22</v>
      </c>
      <c r="F9" s="11" t="n">
        <v>3</v>
      </c>
      <c r="G9" s="11" t="n">
        <v>0</v>
      </c>
      <c r="H9" s="8" t="n">
        <f aca="false">G9+F9-1</f>
        <v>2</v>
      </c>
      <c r="I9" s="12" t="n">
        <f aca="false">$B$4+G9</f>
        <v>46287</v>
      </c>
      <c r="J9" s="12" t="n">
        <f aca="false">$B$4+H9</f>
        <v>46289</v>
      </c>
      <c r="K9" s="13" t="s">
        <v>28</v>
      </c>
      <c r="L9" s="14" t="s">
        <v>29</v>
      </c>
      <c r="M9" s="13" t="s">
        <v>30</v>
      </c>
      <c r="N9" s="15" t="s">
        <v>31</v>
      </c>
    </row>
    <row r="10" customFormat="false" ht="31.5" hidden="false" customHeight="true" outlineLevel="0" collapsed="false">
      <c r="A10" s="8" t="n">
        <v>3</v>
      </c>
      <c r="B10" s="8" t="s">
        <v>32</v>
      </c>
      <c r="C10" s="9" t="s">
        <v>20</v>
      </c>
      <c r="D10" s="16" t="s">
        <v>21</v>
      </c>
      <c r="E10" s="8" t="s">
        <v>22</v>
      </c>
      <c r="F10" s="11" t="n">
        <v>4</v>
      </c>
      <c r="G10" s="11" t="n">
        <v>0</v>
      </c>
      <c r="H10" s="8" t="n">
        <f aca="false">G10+F10-1</f>
        <v>3</v>
      </c>
      <c r="I10" s="12" t="n">
        <f aca="false">$B$4+G10</f>
        <v>46287</v>
      </c>
      <c r="J10" s="12" t="n">
        <f aca="false">$B$4+H10</f>
        <v>46290</v>
      </c>
      <c r="K10" s="13" t="s">
        <v>33</v>
      </c>
      <c r="L10" s="14" t="s">
        <v>34</v>
      </c>
      <c r="M10" s="13" t="s">
        <v>35</v>
      </c>
      <c r="N10" s="15" t="s">
        <v>36</v>
      </c>
    </row>
    <row r="11" customFormat="false" ht="31.5" hidden="false" customHeight="true" outlineLevel="0" collapsed="false">
      <c r="A11" s="8" t="n">
        <v>4</v>
      </c>
      <c r="B11" s="8" t="s">
        <v>37</v>
      </c>
      <c r="C11" s="9" t="s">
        <v>20</v>
      </c>
      <c r="D11" s="16" t="s">
        <v>21</v>
      </c>
      <c r="E11" s="8" t="s">
        <v>22</v>
      </c>
      <c r="F11" s="11" t="n">
        <v>4</v>
      </c>
      <c r="G11" s="11" t="n">
        <v>3</v>
      </c>
      <c r="H11" s="8" t="n">
        <f aca="false">G11+F11-1</f>
        <v>6</v>
      </c>
      <c r="I11" s="12" t="n">
        <f aca="false">$B$4+G11</f>
        <v>46290</v>
      </c>
      <c r="J11" s="12" t="n">
        <f aca="false">$B$4+H11</f>
        <v>46293</v>
      </c>
      <c r="K11" s="13" t="s">
        <v>38</v>
      </c>
      <c r="L11" s="14" t="s">
        <v>39</v>
      </c>
      <c r="M11" s="13" t="s">
        <v>40</v>
      </c>
      <c r="N11" s="15" t="s">
        <v>41</v>
      </c>
    </row>
    <row r="12" customFormat="false" ht="31.5" hidden="false" customHeight="true" outlineLevel="0" collapsed="false">
      <c r="A12" s="8" t="n">
        <v>5</v>
      </c>
      <c r="B12" s="8" t="s">
        <v>42</v>
      </c>
      <c r="C12" s="17" t="s">
        <v>43</v>
      </c>
      <c r="D12" s="16" t="s">
        <v>21</v>
      </c>
      <c r="E12" s="8" t="s">
        <v>44</v>
      </c>
      <c r="F12" s="11" t="n">
        <v>10</v>
      </c>
      <c r="G12" s="8" t="n">
        <f aca="false">$H$8+1</f>
        <v>7</v>
      </c>
      <c r="H12" s="8" t="n">
        <f aca="false">G12+F12-1</f>
        <v>16</v>
      </c>
      <c r="I12" s="12" t="n">
        <f aca="false">$B$4+G12</f>
        <v>46294</v>
      </c>
      <c r="J12" s="12" t="n">
        <f aca="false">$B$4+H12</f>
        <v>46303</v>
      </c>
      <c r="K12" s="13" t="s">
        <v>45</v>
      </c>
      <c r="L12" s="14" t="s">
        <v>46</v>
      </c>
      <c r="M12" s="13" t="s">
        <v>47</v>
      </c>
      <c r="N12" s="15" t="s">
        <v>48</v>
      </c>
    </row>
    <row r="13" customFormat="false" ht="31.5" hidden="false" customHeight="true" outlineLevel="0" collapsed="false">
      <c r="A13" s="8" t="n">
        <v>6</v>
      </c>
      <c r="B13" s="8" t="s">
        <v>49</v>
      </c>
      <c r="C13" s="18" t="s">
        <v>50</v>
      </c>
      <c r="D13" s="16" t="s">
        <v>21</v>
      </c>
      <c r="E13" s="8" t="s">
        <v>51</v>
      </c>
      <c r="F13" s="11" t="n">
        <v>10</v>
      </c>
      <c r="G13" s="8" t="n">
        <f aca="false">MAX($H$8,$H$9,$H$10)+1</f>
        <v>7</v>
      </c>
      <c r="H13" s="8" t="n">
        <f aca="false">G13+F13-1</f>
        <v>16</v>
      </c>
      <c r="I13" s="12" t="n">
        <f aca="false">$B$4+G13</f>
        <v>46294</v>
      </c>
      <c r="J13" s="12" t="n">
        <f aca="false">$B$4+H13</f>
        <v>46303</v>
      </c>
      <c r="K13" s="13" t="s">
        <v>52</v>
      </c>
      <c r="L13" s="14" t="s">
        <v>53</v>
      </c>
      <c r="M13" s="13" t="s">
        <v>54</v>
      </c>
      <c r="N13" s="15" t="s">
        <v>55</v>
      </c>
    </row>
    <row r="14" customFormat="false" ht="31.5" hidden="false" customHeight="true" outlineLevel="0" collapsed="false">
      <c r="A14" s="8" t="n">
        <v>7</v>
      </c>
      <c r="B14" s="8" t="s">
        <v>56</v>
      </c>
      <c r="C14" s="18" t="s">
        <v>50</v>
      </c>
      <c r="D14" s="16" t="s">
        <v>21</v>
      </c>
      <c r="E14" s="8" t="s">
        <v>57</v>
      </c>
      <c r="F14" s="11" t="n">
        <v>7</v>
      </c>
      <c r="G14" s="8" t="n">
        <f aca="false">$H$13+1</f>
        <v>17</v>
      </c>
      <c r="H14" s="8" t="n">
        <f aca="false">G14+F14-1</f>
        <v>23</v>
      </c>
      <c r="I14" s="12" t="n">
        <f aca="false">$B$4+G14</f>
        <v>46304</v>
      </c>
      <c r="J14" s="12" t="n">
        <f aca="false">$B$4+H14</f>
        <v>46310</v>
      </c>
      <c r="K14" s="13" t="s">
        <v>58</v>
      </c>
      <c r="L14" s="14" t="s">
        <v>59</v>
      </c>
      <c r="M14" s="13" t="s">
        <v>60</v>
      </c>
      <c r="N14" s="15" t="s">
        <v>61</v>
      </c>
    </row>
    <row r="15" customFormat="false" ht="31.5" hidden="false" customHeight="true" outlineLevel="0" collapsed="false">
      <c r="A15" s="8" t="n">
        <v>8</v>
      </c>
      <c r="B15" s="8" t="s">
        <v>62</v>
      </c>
      <c r="C15" s="18" t="s">
        <v>50</v>
      </c>
      <c r="D15" s="16" t="s">
        <v>21</v>
      </c>
      <c r="E15" s="8" t="s">
        <v>63</v>
      </c>
      <c r="F15" s="11" t="n">
        <v>7</v>
      </c>
      <c r="G15" s="8" t="n">
        <f aca="false">$H$14+1</f>
        <v>24</v>
      </c>
      <c r="H15" s="8" t="n">
        <f aca="false">G15+F15-1</f>
        <v>30</v>
      </c>
      <c r="I15" s="12" t="n">
        <f aca="false">$B$4+G15</f>
        <v>46311</v>
      </c>
      <c r="J15" s="12" t="n">
        <f aca="false">$B$4+H15</f>
        <v>46317</v>
      </c>
      <c r="K15" s="13" t="s">
        <v>64</v>
      </c>
      <c r="L15" s="14" t="s">
        <v>65</v>
      </c>
      <c r="M15" s="13" t="s">
        <v>66</v>
      </c>
      <c r="N15" s="15" t="s">
        <v>67</v>
      </c>
    </row>
    <row r="16" customFormat="false" ht="31.5" hidden="false" customHeight="true" outlineLevel="0" collapsed="false">
      <c r="A16" s="8" t="n">
        <v>9</v>
      </c>
      <c r="B16" s="8" t="s">
        <v>68</v>
      </c>
      <c r="C16" s="18" t="s">
        <v>50</v>
      </c>
      <c r="D16" s="16" t="s">
        <v>69</v>
      </c>
      <c r="E16" s="8" t="s">
        <v>70</v>
      </c>
      <c r="F16" s="11" t="n">
        <v>3</v>
      </c>
      <c r="G16" s="8" t="n">
        <f aca="false">$H$15+1</f>
        <v>31</v>
      </c>
      <c r="H16" s="8" t="n">
        <f aca="false">G16+F16-1</f>
        <v>33</v>
      </c>
      <c r="I16" s="12" t="n">
        <f aca="false">$B$4+G16</f>
        <v>46318</v>
      </c>
      <c r="J16" s="12" t="n">
        <f aca="false">$B$4+H16</f>
        <v>46320</v>
      </c>
      <c r="K16" s="13" t="s">
        <v>71</v>
      </c>
      <c r="L16" s="14" t="s">
        <v>72</v>
      </c>
      <c r="M16" s="13" t="s">
        <v>73</v>
      </c>
      <c r="N16" s="15" t="s">
        <v>74</v>
      </c>
    </row>
    <row r="17" customFormat="false" ht="31.5" hidden="false" customHeight="true" outlineLevel="0" collapsed="false">
      <c r="A17" s="8" t="n">
        <v>10</v>
      </c>
      <c r="B17" s="8" t="s">
        <v>75</v>
      </c>
      <c r="C17" s="19" t="s">
        <v>76</v>
      </c>
      <c r="D17" s="16" t="s">
        <v>77</v>
      </c>
      <c r="E17" s="8" t="s">
        <v>78</v>
      </c>
      <c r="F17" s="11" t="n">
        <v>10</v>
      </c>
      <c r="G17" s="8" t="n">
        <f aca="false">MAX($H$12,$H$16,$H$11)+1</f>
        <v>34</v>
      </c>
      <c r="H17" s="8" t="n">
        <f aca="false">G17+F17-1</f>
        <v>43</v>
      </c>
      <c r="I17" s="12" t="n">
        <f aca="false">$B$4+G17</f>
        <v>46321</v>
      </c>
      <c r="J17" s="12" t="n">
        <f aca="false">$B$4+H17</f>
        <v>46330</v>
      </c>
      <c r="K17" s="13" t="s">
        <v>79</v>
      </c>
      <c r="L17" s="14" t="s">
        <v>80</v>
      </c>
      <c r="M17" s="13" t="s">
        <v>81</v>
      </c>
      <c r="N17" s="15" t="s">
        <v>82</v>
      </c>
    </row>
    <row r="20" customFormat="false" ht="15" hidden="false" customHeight="true" outlineLevel="0" collapsed="false">
      <c r="A20" s="4" t="s">
        <v>83</v>
      </c>
      <c r="B20" s="20" t="s">
        <v>20</v>
      </c>
      <c r="C20" s="21" t="s">
        <v>50</v>
      </c>
      <c r="D20" s="22" t="s">
        <v>43</v>
      </c>
      <c r="E20" s="23" t="s">
        <v>76</v>
      </c>
    </row>
    <row r="23" customFormat="false" ht="15" hidden="false" customHeight="true" outlineLevel="0" collapsed="false">
      <c r="A23" s="4" t="s">
        <v>84</v>
      </c>
    </row>
    <row r="24" customFormat="false" ht="15" hidden="false" customHeight="true" outlineLevel="0" collapsed="false">
      <c r="A24" s="24" t="s">
        <v>85</v>
      </c>
      <c r="B24" s="24" t="s">
        <v>86</v>
      </c>
      <c r="C24" s="24" t="s">
        <v>87</v>
      </c>
    </row>
    <row r="25" customFormat="false" ht="39.75" hidden="false" customHeight="true" outlineLevel="0" collapsed="false">
      <c r="A25" s="13" t="s">
        <v>88</v>
      </c>
      <c r="B25" s="13" t="s">
        <v>89</v>
      </c>
      <c r="C25" s="13" t="s">
        <v>90</v>
      </c>
    </row>
    <row r="26" customFormat="false" ht="15" hidden="false" customHeight="true" outlineLevel="0" collapsed="false">
      <c r="A26" s="1" t="s">
        <v>88</v>
      </c>
      <c r="B26" s="1" t="s">
        <v>91</v>
      </c>
      <c r="C26" s="1" t="s">
        <v>92</v>
      </c>
    </row>
    <row r="27" customFormat="false" ht="15" hidden="false" customHeight="true" outlineLevel="0" collapsed="false">
      <c r="A27" s="1" t="s">
        <v>88</v>
      </c>
      <c r="B27" s="1" t="s">
        <v>93</v>
      </c>
      <c r="C27" s="1" t="s">
        <v>94</v>
      </c>
    </row>
    <row r="28" customFormat="false" ht="15" hidden="false" customHeight="true" outlineLevel="0" collapsed="false">
      <c r="A28" s="1" t="s">
        <v>88</v>
      </c>
      <c r="B28" s="1" t="s">
        <v>95</v>
      </c>
      <c r="C28" s="1" t="s">
        <v>96</v>
      </c>
    </row>
    <row r="29" customFormat="false" ht="15" hidden="false" customHeight="true" outlineLevel="0" collapsed="false">
      <c r="A29" s="1" t="s">
        <v>88</v>
      </c>
      <c r="B29" s="1" t="s">
        <v>97</v>
      </c>
      <c r="C29" s="1" t="s">
        <v>98</v>
      </c>
    </row>
    <row r="30" customFormat="false" ht="15" hidden="false" customHeight="true" outlineLevel="0" collapsed="false">
      <c r="A30" s="1" t="s">
        <v>88</v>
      </c>
      <c r="B30" s="1" t="s">
        <v>99</v>
      </c>
      <c r="C30" s="1" t="s">
        <v>100</v>
      </c>
    </row>
    <row r="31" customFormat="false" ht="15" hidden="false" customHeight="true" outlineLevel="0" collapsed="false">
      <c r="A31" s="1" t="s">
        <v>88</v>
      </c>
      <c r="B31" s="1" t="s">
        <v>101</v>
      </c>
      <c r="C31" s="1" t="s">
        <v>102</v>
      </c>
    </row>
    <row r="32" customFormat="false" ht="15" hidden="false" customHeight="true" outlineLevel="0" collapsed="false">
      <c r="A32" s="1" t="s">
        <v>88</v>
      </c>
      <c r="B32" s="1" t="s">
        <v>103</v>
      </c>
      <c r="C32" s="1" t="s">
        <v>104</v>
      </c>
    </row>
    <row r="33" customFormat="false" ht="15" hidden="false" customHeight="true" outlineLevel="0" collapsed="false">
      <c r="A33" s="1" t="s">
        <v>88</v>
      </c>
      <c r="B33" s="1" t="s">
        <v>105</v>
      </c>
      <c r="C33" s="1" t="s">
        <v>106</v>
      </c>
    </row>
    <row r="34" customFormat="false" ht="15" hidden="false" customHeight="true" outlineLevel="0" collapsed="false">
      <c r="A34" s="1" t="s">
        <v>88</v>
      </c>
      <c r="B34" s="1" t="s">
        <v>107</v>
      </c>
      <c r="C34" s="1" t="s">
        <v>108</v>
      </c>
    </row>
    <row r="35" customFormat="false" ht="15" hidden="false" customHeight="true" outlineLevel="0" collapsed="false">
      <c r="A35" s="1" t="s">
        <v>88</v>
      </c>
      <c r="B35" s="1" t="s">
        <v>109</v>
      </c>
      <c r="C35" s="1" t="s">
        <v>110</v>
      </c>
    </row>
    <row r="36" customFormat="false" ht="15" hidden="false" customHeight="true" outlineLevel="0" collapsed="false">
      <c r="A36" s="1" t="s">
        <v>88</v>
      </c>
      <c r="B36" s="1" t="s">
        <v>111</v>
      </c>
      <c r="C36" s="1" t="s">
        <v>112</v>
      </c>
    </row>
    <row r="37" customFormat="false" ht="15" hidden="false" customHeight="true" outlineLevel="0" collapsed="false">
      <c r="A37" s="1" t="s">
        <v>88</v>
      </c>
      <c r="B37" s="1" t="s">
        <v>113</v>
      </c>
      <c r="C37" s="1" t="s">
        <v>114</v>
      </c>
    </row>
    <row r="38" customFormat="false" ht="15" hidden="false" customHeight="true" outlineLevel="0" collapsed="false">
      <c r="A38" s="1" t="s">
        <v>115</v>
      </c>
      <c r="B38" s="1" t="s">
        <v>116</v>
      </c>
      <c r="C38" s="1" t="s">
        <v>117</v>
      </c>
    </row>
    <row r="39" customFormat="false" ht="15" hidden="false" customHeight="true" outlineLevel="0" collapsed="false">
      <c r="A39" s="1" t="s">
        <v>115</v>
      </c>
      <c r="B39" s="1" t="s">
        <v>118</v>
      </c>
      <c r="C39" s="1" t="s">
        <v>119</v>
      </c>
    </row>
    <row r="40" customFormat="false" ht="15" hidden="false" customHeight="false" outlineLevel="0" collapsed="false">
      <c r="A40" s="1" t="s">
        <v>115</v>
      </c>
      <c r="B40" s="1" t="s">
        <v>120</v>
      </c>
      <c r="C40" s="1" t="s">
        <v>121</v>
      </c>
    </row>
  </sheetData>
  <mergeCells count="2">
    <mergeCell ref="A1:N1"/>
    <mergeCell ref="A2:N2"/>
  </mergeCells>
  <dataValidations count="1">
    <dataValidation allowBlank="false" errorStyle="stop" operator="between" showDropDown="false" showErrorMessage="false" showInputMessage="false" sqref="D8:D17" type="list">
      <formula1>"Not started,In progress,Blocked,Done"</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X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6" topLeftCell="D7" activePane="bottomRight" state="frozen"/>
      <selection pane="topLeft" activeCell="A1" activeCellId="0" sqref="A1"/>
      <selection pane="topRight" activeCell="D1" activeCellId="0" sqref="D1"/>
      <selection pane="bottomLeft" activeCell="A7" activeCellId="0" sqref="A7"/>
      <selection pane="bottomRight" activeCell="A1" activeCellId="0" sqref="A1"/>
    </sheetView>
  </sheetViews>
  <sheetFormatPr defaultColWidth="8.6796875" defaultRowHeight="15" zeroHeight="false" outlineLevelRow="0" outlineLevelCol="0"/>
  <cols>
    <col collapsed="false" customWidth="true" hidden="false" outlineLevel="0" max="1" min="1" style="1" width="4"/>
    <col collapsed="false" customWidth="true" hidden="false" outlineLevel="0" max="2" min="2" style="1" width="30"/>
    <col collapsed="false" customWidth="true" hidden="false" outlineLevel="0" max="3" min="3" style="1" width="13"/>
    <col collapsed="false" customWidth="true" hidden="false" outlineLevel="0" max="47" min="4" style="1" width="3"/>
  </cols>
  <sheetData>
    <row r="1" customFormat="false" ht="17.25" hidden="false" customHeight="true" outlineLevel="0" collapsed="false">
      <c r="A1" s="2" t="s">
        <v>122</v>
      </c>
      <c r="B1" s="2"/>
      <c r="C1" s="2"/>
      <c r="D1" s="2"/>
      <c r="E1" s="2"/>
      <c r="F1" s="2"/>
      <c r="G1" s="2"/>
      <c r="H1" s="2"/>
    </row>
    <row r="2" customFormat="false" ht="15" hidden="false" customHeight="true" outlineLevel="0" collapsed="false">
      <c r="A2" s="3" t="s">
        <v>123</v>
      </c>
      <c r="B2" s="3"/>
      <c r="C2" s="3"/>
      <c r="D2" s="3"/>
      <c r="E2" s="3"/>
      <c r="F2" s="3"/>
      <c r="G2" s="3"/>
      <c r="H2" s="3"/>
    </row>
    <row r="4" customFormat="false" ht="15" hidden="false" customHeight="true" outlineLevel="0" collapsed="false">
      <c r="A4" s="4" t="s">
        <v>5</v>
      </c>
      <c r="B4" s="4" t="s">
        <v>124</v>
      </c>
      <c r="C4" s="4" t="s">
        <v>7</v>
      </c>
      <c r="D4" s="25" t="n">
        <v>0</v>
      </c>
      <c r="E4" s="25" t="n">
        <v>1</v>
      </c>
      <c r="F4" s="25" t="n">
        <v>2</v>
      </c>
      <c r="G4" s="25" t="n">
        <v>3</v>
      </c>
      <c r="H4" s="25" t="n">
        <v>4</v>
      </c>
      <c r="I4" s="25" t="n">
        <v>5</v>
      </c>
      <c r="J4" s="25" t="n">
        <v>6</v>
      </c>
      <c r="K4" s="25" t="n">
        <v>7</v>
      </c>
      <c r="L4" s="25" t="n">
        <v>8</v>
      </c>
      <c r="M4" s="25" t="n">
        <v>9</v>
      </c>
      <c r="N4" s="25" t="n">
        <v>10</v>
      </c>
      <c r="O4" s="25" t="n">
        <v>11</v>
      </c>
      <c r="P4" s="25" t="n">
        <v>12</v>
      </c>
      <c r="Q4" s="25" t="n">
        <v>13</v>
      </c>
      <c r="R4" s="25" t="n">
        <v>14</v>
      </c>
      <c r="S4" s="25" t="n">
        <v>15</v>
      </c>
      <c r="T4" s="25" t="n">
        <v>16</v>
      </c>
      <c r="U4" s="25" t="n">
        <v>17</v>
      </c>
      <c r="V4" s="25" t="n">
        <v>18</v>
      </c>
      <c r="W4" s="25" t="n">
        <v>19</v>
      </c>
      <c r="X4" s="25" t="n">
        <v>20</v>
      </c>
      <c r="Y4" s="25" t="n">
        <v>21</v>
      </c>
      <c r="Z4" s="25" t="n">
        <v>22</v>
      </c>
      <c r="AA4" s="25" t="n">
        <v>23</v>
      </c>
      <c r="AB4" s="25" t="n">
        <v>24</v>
      </c>
      <c r="AC4" s="25" t="n">
        <v>25</v>
      </c>
      <c r="AD4" s="25" t="n">
        <v>26</v>
      </c>
      <c r="AE4" s="25" t="n">
        <v>27</v>
      </c>
      <c r="AF4" s="25" t="n">
        <v>28</v>
      </c>
      <c r="AG4" s="25" t="n">
        <v>29</v>
      </c>
      <c r="AH4" s="25" t="n">
        <v>30</v>
      </c>
      <c r="AI4" s="25" t="n">
        <v>31</v>
      </c>
      <c r="AJ4" s="25" t="n">
        <v>32</v>
      </c>
      <c r="AK4" s="25" t="n">
        <v>33</v>
      </c>
      <c r="AL4" s="25" t="n">
        <v>34</v>
      </c>
      <c r="AM4" s="25" t="n">
        <v>35</v>
      </c>
      <c r="AN4" s="25" t="n">
        <v>36</v>
      </c>
      <c r="AO4" s="25" t="n">
        <v>37</v>
      </c>
      <c r="AP4" s="25" t="n">
        <v>38</v>
      </c>
      <c r="AQ4" s="25" t="n">
        <v>39</v>
      </c>
      <c r="AR4" s="25" t="n">
        <v>40</v>
      </c>
      <c r="AS4" s="25" t="n">
        <v>41</v>
      </c>
      <c r="AT4" s="25" t="n">
        <v>42</v>
      </c>
      <c r="AU4" s="25" t="n">
        <v>43</v>
      </c>
      <c r="AW4" s="26" t="s">
        <v>125</v>
      </c>
      <c r="AX4" s="26" t="s">
        <v>126</v>
      </c>
    </row>
    <row r="5" customFormat="false" ht="33.75" hidden="false" customHeight="true" outlineLevel="0" collapsed="false">
      <c r="D5" s="27" t="n">
        <f aca="false">'Task Plan'!$B$4+0</f>
        <v>46287</v>
      </c>
      <c r="E5" s="27" t="n">
        <f aca="false">'Task Plan'!$B$4+1</f>
        <v>46288</v>
      </c>
      <c r="F5" s="27" t="n">
        <f aca="false">'Task Plan'!$B$4+2</f>
        <v>46289</v>
      </c>
      <c r="G5" s="27" t="n">
        <f aca="false">'Task Plan'!$B$4+3</f>
        <v>46290</v>
      </c>
      <c r="H5" s="27" t="n">
        <f aca="false">'Task Plan'!$B$4+4</f>
        <v>46291</v>
      </c>
      <c r="I5" s="27" t="n">
        <f aca="false">'Task Plan'!$B$4+5</f>
        <v>46292</v>
      </c>
      <c r="J5" s="27" t="n">
        <f aca="false">'Task Plan'!$B$4+6</f>
        <v>46293</v>
      </c>
      <c r="K5" s="27" t="n">
        <f aca="false">'Task Plan'!$B$4+7</f>
        <v>46294</v>
      </c>
      <c r="L5" s="27" t="n">
        <f aca="false">'Task Plan'!$B$4+8</f>
        <v>46295</v>
      </c>
      <c r="M5" s="27" t="n">
        <f aca="false">'Task Plan'!$B$4+9</f>
        <v>46296</v>
      </c>
      <c r="N5" s="27" t="n">
        <f aca="false">'Task Plan'!$B$4+10</f>
        <v>46297</v>
      </c>
      <c r="O5" s="27" t="n">
        <f aca="false">'Task Plan'!$B$4+11</f>
        <v>46298</v>
      </c>
      <c r="P5" s="27" t="n">
        <f aca="false">'Task Plan'!$B$4+12</f>
        <v>46299</v>
      </c>
      <c r="Q5" s="27" t="n">
        <f aca="false">'Task Plan'!$B$4+13</f>
        <v>46300</v>
      </c>
      <c r="R5" s="27" t="n">
        <f aca="false">'Task Plan'!$B$4+14</f>
        <v>46301</v>
      </c>
      <c r="S5" s="27" t="n">
        <f aca="false">'Task Plan'!$B$4+15</f>
        <v>46302</v>
      </c>
      <c r="T5" s="27" t="n">
        <f aca="false">'Task Plan'!$B$4+16</f>
        <v>46303</v>
      </c>
      <c r="U5" s="27" t="n">
        <f aca="false">'Task Plan'!$B$4+17</f>
        <v>46304</v>
      </c>
      <c r="V5" s="27" t="n">
        <f aca="false">'Task Plan'!$B$4+18</f>
        <v>46305</v>
      </c>
      <c r="W5" s="27" t="n">
        <f aca="false">'Task Plan'!$B$4+19</f>
        <v>46306</v>
      </c>
      <c r="X5" s="27" t="n">
        <f aca="false">'Task Plan'!$B$4+20</f>
        <v>46307</v>
      </c>
      <c r="Y5" s="27" t="n">
        <f aca="false">'Task Plan'!$B$4+21</f>
        <v>46308</v>
      </c>
      <c r="Z5" s="27" t="n">
        <f aca="false">'Task Plan'!$B$4+22</f>
        <v>46309</v>
      </c>
      <c r="AA5" s="27" t="n">
        <f aca="false">'Task Plan'!$B$4+23</f>
        <v>46310</v>
      </c>
      <c r="AB5" s="27" t="n">
        <f aca="false">'Task Plan'!$B$4+24</f>
        <v>46311</v>
      </c>
      <c r="AC5" s="27" t="n">
        <f aca="false">'Task Plan'!$B$4+25</f>
        <v>46312</v>
      </c>
      <c r="AD5" s="27" t="n">
        <f aca="false">'Task Plan'!$B$4+26</f>
        <v>46313</v>
      </c>
      <c r="AE5" s="27" t="n">
        <f aca="false">'Task Plan'!$B$4+27</f>
        <v>46314</v>
      </c>
      <c r="AF5" s="27" t="n">
        <f aca="false">'Task Plan'!$B$4+28</f>
        <v>46315</v>
      </c>
      <c r="AG5" s="27" t="n">
        <f aca="false">'Task Plan'!$B$4+29</f>
        <v>46316</v>
      </c>
      <c r="AH5" s="27" t="n">
        <f aca="false">'Task Plan'!$B$4+30</f>
        <v>46317</v>
      </c>
      <c r="AI5" s="27" t="n">
        <f aca="false">'Task Plan'!$B$4+31</f>
        <v>46318</v>
      </c>
      <c r="AJ5" s="27" t="n">
        <f aca="false">'Task Plan'!$B$4+32</f>
        <v>46319</v>
      </c>
      <c r="AK5" s="27" t="n">
        <f aca="false">'Task Plan'!$B$4+33</f>
        <v>46320</v>
      </c>
      <c r="AL5" s="27" t="n">
        <f aca="false">'Task Plan'!$B$4+34</f>
        <v>46321</v>
      </c>
      <c r="AM5" s="27" t="n">
        <f aca="false">'Task Plan'!$B$4+35</f>
        <v>46322</v>
      </c>
      <c r="AN5" s="27" t="n">
        <f aca="false">'Task Plan'!$B$4+36</f>
        <v>46323</v>
      </c>
      <c r="AO5" s="27" t="n">
        <f aca="false">'Task Plan'!$B$4+37</f>
        <v>46324</v>
      </c>
      <c r="AP5" s="27" t="n">
        <f aca="false">'Task Plan'!$B$4+38</f>
        <v>46325</v>
      </c>
      <c r="AQ5" s="27" t="n">
        <f aca="false">'Task Plan'!$B$4+39</f>
        <v>46326</v>
      </c>
      <c r="AR5" s="27" t="n">
        <f aca="false">'Task Plan'!$B$4+40</f>
        <v>46327</v>
      </c>
      <c r="AS5" s="27" t="n">
        <f aca="false">'Task Plan'!$B$4+41</f>
        <v>46328</v>
      </c>
      <c r="AT5" s="27" t="n">
        <f aca="false">'Task Plan'!$B$4+42</f>
        <v>46329</v>
      </c>
      <c r="AU5" s="27" t="n">
        <f aca="false">'Task Plan'!$B$4+43</f>
        <v>46330</v>
      </c>
    </row>
    <row r="7" customFormat="false" ht="15" hidden="false" customHeight="true" outlineLevel="0" collapsed="false">
      <c r="A7" s="8" t="n">
        <f aca="false">'Task Plan'!A8</f>
        <v>1</v>
      </c>
      <c r="B7" s="28" t="str">
        <f aca="false">'Task Plan'!B8&amp;" ["&amp;'Task Plan'!D8&amp;"]"</f>
        <v>Design &amp; migrate schema [Done]</v>
      </c>
      <c r="C7" s="29" t="str">
        <f aca="false">'Task Plan'!C8</f>
        <v>Foundation</v>
      </c>
      <c r="AW7" s="30" t="n">
        <f aca="false">'Task Plan'!G8</f>
        <v>0</v>
      </c>
      <c r="AX7" s="30" t="n">
        <f aca="false">'Task Plan'!H8</f>
        <v>6</v>
      </c>
    </row>
    <row r="8" customFormat="false" ht="15" hidden="false" customHeight="true" outlineLevel="0" collapsed="false">
      <c r="A8" s="8" t="n">
        <f aca="false">'Task Plan'!A9</f>
        <v>2</v>
      </c>
      <c r="B8" s="28" t="str">
        <f aca="false">'Task Plan'!B9&amp;" ["&amp;'Task Plan'!D9&amp;"]"</f>
        <v>Verify Legistar API access (nnph-dboh) [Done]</v>
      </c>
      <c r="C8" s="29" t="str">
        <f aca="false">'Task Plan'!C9</f>
        <v>Foundation</v>
      </c>
      <c r="AW8" s="30" t="n">
        <f aca="false">'Task Plan'!G9</f>
        <v>0</v>
      </c>
      <c r="AX8" s="30" t="n">
        <f aca="false">'Task Plan'!H9</f>
        <v>2</v>
      </c>
    </row>
    <row r="9" customFormat="false" ht="15" hidden="false" customHeight="true" outlineLevel="0" collapsed="false">
      <c r="A9" s="8" t="n">
        <f aca="false">'Task Plan'!A10</f>
        <v>3</v>
      </c>
      <c r="B9" s="28" t="str">
        <f aca="false">'Task Plan'!B10&amp;" ["&amp;'Task Plan'!D10&amp;"]"</f>
        <v>Harden NELIS scraper selectors [Done]</v>
      </c>
      <c r="C9" s="29" t="str">
        <f aca="false">'Task Plan'!C10</f>
        <v>Foundation</v>
      </c>
      <c r="AW9" s="30" t="n">
        <f aca="false">'Task Plan'!G10</f>
        <v>0</v>
      </c>
      <c r="AX9" s="30" t="n">
        <f aca="false">'Task Plan'!H10</f>
        <v>3</v>
      </c>
    </row>
    <row r="10" customFormat="false" ht="15" hidden="false" customHeight="true" outlineLevel="0" collapsed="false">
      <c r="A10" s="8" t="n">
        <f aca="false">'Task Plan'!A11</f>
        <v>4</v>
      </c>
      <c r="B10" s="28" t="str">
        <f aca="false">'Task Plan'!B11&amp;" ["&amp;'Task Plan'!D11&amp;"]"</f>
        <v>Provision hosting [Done]</v>
      </c>
      <c r="C10" s="29" t="str">
        <f aca="false">'Task Plan'!C11</f>
        <v>Foundation</v>
      </c>
      <c r="AW10" s="30" t="n">
        <f aca="false">'Task Plan'!G11</f>
        <v>3</v>
      </c>
      <c r="AX10" s="30" t="n">
        <f aca="false">'Task Plan'!H11</f>
        <v>6</v>
      </c>
    </row>
    <row r="11" customFormat="false" ht="15" hidden="false" customHeight="true" outlineLevel="0" collapsed="false">
      <c r="A11" s="8" t="n">
        <f aca="false">'Task Plan'!A12</f>
        <v>5</v>
      </c>
      <c r="B11" s="28" t="str">
        <f aca="false">'Task Plan'!B12&amp;" ["&amp;'Task Plan'!D12&amp;"]"</f>
        <v>Backend API [Done]</v>
      </c>
      <c r="C11" s="29" t="str">
        <f aca="false">'Task Plan'!C12</f>
        <v>Backend/Frontend</v>
      </c>
      <c r="AW11" s="30" t="n">
        <f aca="false">'Task Plan'!G12</f>
        <v>7</v>
      </c>
      <c r="AX11" s="30" t="n">
        <f aca="false">'Task Plan'!H12</f>
        <v>16</v>
      </c>
    </row>
    <row r="12" customFormat="false" ht="15" hidden="false" customHeight="true" outlineLevel="0" collapsed="false">
      <c r="A12" s="8" t="n">
        <f aca="false">'Task Plan'!A13</f>
        <v>6</v>
      </c>
      <c r="B12" s="28" t="str">
        <f aca="false">'Task Plan'!B13&amp;" ["&amp;'Task Plan'!D13&amp;"]"</f>
        <v>Document capture pipeline [Done]</v>
      </c>
      <c r="C12" s="29" t="str">
        <f aca="false">'Task Plan'!C13</f>
        <v>Data pipeline</v>
      </c>
      <c r="AW12" s="30" t="n">
        <f aca="false">'Task Plan'!G13</f>
        <v>7</v>
      </c>
      <c r="AX12" s="30" t="n">
        <f aca="false">'Task Plan'!H13</f>
        <v>16</v>
      </c>
    </row>
    <row r="13" customFormat="false" ht="15" hidden="false" customHeight="true" outlineLevel="0" collapsed="false">
      <c r="A13" s="8" t="n">
        <f aca="false">'Task Plan'!A14</f>
        <v>7</v>
      </c>
      <c r="B13" s="28" t="str">
        <f aca="false">'Task Plan'!B14&amp;" ["&amp;'Task Plan'!D14&amp;"]"</f>
        <v>Extraction pipeline (OCR + LLM) [Done]</v>
      </c>
      <c r="C13" s="29" t="str">
        <f aca="false">'Task Plan'!C14</f>
        <v>Data pipeline</v>
      </c>
      <c r="AW13" s="30" t="n">
        <f aca="false">'Task Plan'!G14</f>
        <v>17</v>
      </c>
      <c r="AX13" s="30" t="n">
        <f aca="false">'Task Plan'!H14</f>
        <v>23</v>
      </c>
    </row>
    <row r="14" customFormat="false" ht="15" hidden="false" customHeight="true" outlineLevel="0" collapsed="false">
      <c r="A14" s="8" t="n">
        <f aca="false">'Task Plan'!A15</f>
        <v>8</v>
      </c>
      <c r="B14" s="28" t="str">
        <f aca="false">'Task Plan'!B15&amp;" ["&amp;'Task Plan'!D15&amp;"]"</f>
        <v>Subject tagging (LLM) [Done]</v>
      </c>
      <c r="C14" s="29" t="str">
        <f aca="false">'Task Plan'!C15</f>
        <v>Data pipeline</v>
      </c>
      <c r="AW14" s="30" t="n">
        <f aca="false">'Task Plan'!G15</f>
        <v>24</v>
      </c>
      <c r="AX14" s="30" t="n">
        <f aca="false">'Task Plan'!H15</f>
        <v>30</v>
      </c>
    </row>
    <row r="15" customFormat="false" ht="15" hidden="false" customHeight="true" outlineLevel="0" collapsed="false">
      <c r="A15" s="8" t="n">
        <f aca="false">'Task Plan'!A16</f>
        <v>9</v>
      </c>
      <c r="B15" s="28" t="str">
        <f aca="false">'Task Plan'!B16&amp;" ["&amp;'Task Plan'!D16&amp;"]"</f>
        <v>Briefing generation upgrade [In progress]</v>
      </c>
      <c r="C15" s="29" t="str">
        <f aca="false">'Task Plan'!C16</f>
        <v>Data pipeline</v>
      </c>
      <c r="AW15" s="30" t="n">
        <f aca="false">'Task Plan'!G16</f>
        <v>31</v>
      </c>
      <c r="AX15" s="30" t="n">
        <f aca="false">'Task Plan'!H16</f>
        <v>33</v>
      </c>
    </row>
    <row r="16" customFormat="false" ht="15" hidden="false" customHeight="true" outlineLevel="0" collapsed="false">
      <c r="A16" s="8" t="n">
        <f aca="false">'Task Plan'!A17</f>
        <v>10</v>
      </c>
      <c r="B16" s="28" t="str">
        <f aca="false">'Task Plan'!B17&amp;" ["&amp;'Task Plan'!D17&amp;"]"</f>
        <v>Frontend cutover to live API [Not started]</v>
      </c>
      <c r="C16" s="29" t="str">
        <f aca="false">'Task Plan'!C17</f>
        <v>Launch</v>
      </c>
      <c r="AW16" s="30" t="n">
        <f aca="false">'Task Plan'!G17</f>
        <v>34</v>
      </c>
      <c r="AX16" s="30" t="n">
        <f aca="false">'Task Plan'!H17</f>
        <v>43</v>
      </c>
    </row>
    <row r="19" customFormat="false" ht="15" hidden="false" customHeight="true" outlineLevel="0" collapsed="false">
      <c r="A19" s="4" t="s">
        <v>83</v>
      </c>
      <c r="B19" s="20" t="s">
        <v>20</v>
      </c>
      <c r="C19" s="21" t="s">
        <v>50</v>
      </c>
      <c r="D19" s="22" t="s">
        <v>43</v>
      </c>
      <c r="E19" s="23" t="s">
        <v>76</v>
      </c>
    </row>
  </sheetData>
  <mergeCells count="2">
    <mergeCell ref="A1:H1"/>
    <mergeCell ref="A2:H2"/>
  </mergeCells>
  <conditionalFormatting sqref="D7:AU16">
    <cfRule type="expression" priority="2" aboveAverage="0" equalAverage="0" bottom="0" percent="0" rank="0" text="" dxfId="0">
      <formula>AND(D$4&gt;=$AW7,D$4&lt;=$AX7,$C7="Foundation")</formula>
    </cfRule>
    <cfRule type="expression" priority="3" aboveAverage="0" equalAverage="0" bottom="0" percent="0" rank="0" text="" dxfId="1">
      <formula>AND(D$4&gt;=$AW7,D$4&lt;=$AX7,$C7="Data pipeline")</formula>
    </cfRule>
    <cfRule type="expression" priority="4" aboveAverage="0" equalAverage="0" bottom="0" percent="0" rank="0" text="" dxfId="2">
      <formula>AND(D$4&gt;=$AW7,D$4&lt;=$AX7,$C7="Backend/Frontend")</formula>
    </cfRule>
    <cfRule type="expression" priority="5" aboveAverage="0" equalAverage="0" bottom="0" percent="0" rank="0" text="" dxfId="3">
      <formula>AND(D$4&gt;=$AW7,D$4&lt;=$AX7,$C7="Launch")</formula>
    </cfRule>
  </conditionalFormatting>
  <conditionalFormatting sqref="D5:AU5">
    <cfRule type="expression" priority="6" aboveAverage="0" equalAverage="0" bottom="0" percent="0" rank="0" text="" dxfId="4">
      <formula>D5=TODAY()</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2026-09-19T19:45:01Z</dcterms:created>
  <dc:creator>openpyxl</dc:creator>
  <dc:description/>
  <dc:language>en-US</dc:language>
  <cp:lastModifiedBy/>
  <dcterms:modified xsi:type="dcterms:W3CDTF">2026-09-20T15:58:07Z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