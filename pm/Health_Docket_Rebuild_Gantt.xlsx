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<sst xmlns="http://schemas.openxmlformats.org/spreadsheetml/2006/main" count="156" uniqueCount="117">
  <si>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</si>
  <si>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</si>
  <si>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</si>
  <si>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</si>
  <si>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</si>
  <si>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</si>
  <si>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</si>
  <si>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</si>
  <si>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</si>
  <si>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</si>
  <si>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</si>
  <si>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</si>
  <si>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</si>
  <si>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</si>
  <si>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</si>
  <si>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</si>
  <si>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</si>
  <si>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</si>
  <si>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</si>
  <si>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</si>
  <si>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</si>
  <si>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</si>
  <si>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</si>
  <si>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</si>
  <si>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</si>
  <si>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</si>
  <si>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</si>
  <si>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</si>
  <si>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</si>
  <si>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</si>
  <si>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</si>
  <si>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</si>
  <si>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</si>
  <si>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</si>
  <si>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</si>
  <si>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</si>
  <si>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</si>
  <si>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</si>
  <si>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</si>
  <si>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</si>
  <si>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</si>
  <si>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</si>
  <si>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</si>
  <si>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</si>
  <si>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</si>
  <si>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</si>
  <si>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</si>
  <si>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</si>
  <si>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</si>
  <si>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</si>
  <si>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</si>
  <si>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</si>
  <si>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</si>
  <si>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 VERIFIED 2026-09-19: Jack ran it from his own terminal against the real internet. Result: 25 captured, 1 not_linked (www.nnph.org -- SSL certificate verification failure, a real problem with that site's cert, not a script bug). Finding for Task 7: all 10 Southern Nevada Health District captures are byte-identical (1,328,468 bytes) and all 4 Senate HELP Committee captures are byte-identical (282,263 bytes) -- both sources' scraped links point at one generic meetings-listing page rather than a page specific to each meeting. The script did its job correctly; the gap is upstream in what those sources' links resolve to. 25 files committed under data/documents/ (~16MB). Task 6 Done.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</si>
  <si>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</si>
  <si>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</si>
  <si>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</si>
  <si>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</si>
  <si>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</si>
  <si>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 pipeline/extract_text.py written and verified 2026-09-19: reads each captured file and fills in extracted_text/extraction_status. Handles .html (BeautifulSoup, scripts/styles stripped) and .pdf (pdfplumber embedded text). Deliberately does NOT implement OCR for a scanned/image PDF yet -- no document in the corpus is actually a scanned image, so there's nothing real to test that against; a no-text PDF is treated as a clean 'failed' case per the spec's own failure-handling rule instead of shipping an untested OCR path (natural fit for later: Claude's vision API, matching the existing anthropic dependency). Verified against all 25 real files Task 6 actually captured (25 extracted, 0 failed, genuine readable text confirmed -- not boilerplate) plus two synthetic test PDFs (one with real text, one with none) to prove the PDF success and failure branches, since no real PDF exists in the corpus yet. Task 7 Done.</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</si>
  <si>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</si>
  <si>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</si>
  <si>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</si>
  <si>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Not started</t>
  </si>
  <si>
    <t xml:space="preserve">T7</t>
  </si>
  <si>
    <t xml:space="preserve">pipeline/tag_subjects.py</t>
  </si>
  <si>
    <t xml:space="preserve">Needs extracted text from Task 7.</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</si>
  <si>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</si>
  <si>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</si>
  <si>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</si>
  <si>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</si>
  <si>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</si>
  <si>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</si>
  <si>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</si>
  <si>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</si>
  <si>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</si>
  <si>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</si>
  <si>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</si>
  <si>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</si>
  <si>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</si>
  <si>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</si>
  <si>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</si>
  <si>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</si>
  <si>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</si>
  <si>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</si>
  <si>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</si>
  <si>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</si>
  <si>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</si>
  <si>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</si>
  <si>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</si>
  <si>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</si>
  <si>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</si>
  <si>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</si>
  <si>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</si>
  <si>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</si>
  <si>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</si>
  <si>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</si>
  <si>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</si>
  <si>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</si>
  <si>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</si>
  <si>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</si>
  <si>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</si>
  <si>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</si>
  <si>
    <t xml:space="preserve">Task 4 (Provision hosting): In progress, plan corrected from Postgres to SQLite+disk. Not yet Done — waiting on Jack to create the Blueprint in the Render dashboard.</t>
  </si>
  <si>
    <t xml:space="preserve">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</si>
  <si>
    <t xml:space="preserve">Task 4 (Provision hosting): In progress -&gt; Done.</t>
  </si>
  <si>
    <t xml:space="preserve">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</si>
  <si>
    <t xml:space="preserve">Task 6 (Document capture pipeline): Not started -&gt; In progress.</t>
  </si>
  <si>
    <t xml:space="preserve">Task 6 verified: Jack ran pipeline/capture_documents.py from his own terminal against the real internet. 25 of 26 documents captured; 1 not_linked (nnph.org SSL cert failure, a real site problem, not a script bug). Flagged a real finding for Task 7: 10 SNHD and 4 Senate HELP captures are byte-identical within their group -- those two sources only ever link to one generic meetings-listing page, not a page per meeting, so those particular captures are not yet meeting-specific content. Committed the 25 captured files under data/documents/ (~16MB) and pushed.</t>
  </si>
  <si>
    <t xml:space="preserve">Task 6 (Document capture pipeline): In progress -&gt; Done.</t>
  </si>
  <si>
    <t xml:space="preserve">Task 7: wrote pipeline/extract_text.py per spec §5's Extract stage. Handles HTML (BeautifulSoup) and PDF (pdfplumber) captures; scoped OCR out for now since no scanned-image document exists in the corpus to build and verify that against -- a no-text PDF cleanly fails instead, per spec's own rule. Verified against all 25 real files Task 6 captured (25/25 extracted, real readable text confirmed) plus two synthetic PDFs to prove the PDF branches. Committed and pushed.</t>
  </si>
  <si>
    <t xml:space="preserve">Task 7 (Extraction pipeline): Not started -&gt; Done.</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</si>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</sst>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21</v>
      </c>
      <c r="E11" s="8" t="s">
        <v>22</v>
      </c>
      <c r="F11" s="11" t="n">
        <v>4</v>
      </c>
      <c r="G11" s="11" t="n">
        <v>3</v>
      </c>
      <c r="H11" s="8" t="n">
        <f aca="false">G11+F11-1</f>
        <v>6</v>
      </c>
      <c r="I11" s="12" t="n">
        <f aca="false">$B$4+G11</f>
        <v>46290</v>
      </c>
      <c r="J11" s="12" t="n">
        <f aca="false">$B$4+H11</f>
        <v>46293</v>
      </c>
      <c r="K11" s="13" t="s">
        <v>38</v>
      </c>
      <c r="L11" s="14" t="s">
        <v>39</v>
      </c>
      <c r="M11" s="13" t="s">
        <v>40</v>
      </c>
      <c r="N11" s="15" t="s">
        <v>41</v>
      </c>
    </row>
    <row r="12" customFormat="false" ht="31.5" hidden="false" customHeight="true" outlineLevel="0" collapsed="false">
      <c r="A12" s="8" t="n">
        <v>5</v>
      </c>
      <c r="B12" s="8" t="s">
        <v>42</v>
      </c>
      <c r="C12" s="17" t="s">
        <v>43</v>
      </c>
      <c r="D12" s="16" t="s">
        <v>21</v>
      </c>
      <c r="E12" s="8" t="s">
        <v>44</v>
      </c>
      <c r="F12" s="11" t="n">
        <v>10</v>
      </c>
      <c r="G12" s="8" t="n">
        <f aca="false">$H$8+1</f>
        <v>7</v>
      </c>
      <c r="H12" s="8" t="n">
        <f aca="false">G12+F12-1</f>
        <v>16</v>
      </c>
      <c r="I12" s="12" t="n">
        <f aca="false">$B$4+G12</f>
        <v>46294</v>
      </c>
      <c r="J12" s="12" t="n">
        <f aca="false">$B$4+H12</f>
        <v>46303</v>
      </c>
      <c r="K12" s="13" t="s">
        <v>45</v>
      </c>
      <c r="L12" s="14" t="s">
        <v>46</v>
      </c>
      <c r="M12" s="13" t="s">
        <v>47</v>
      </c>
      <c r="N12" s="15" t="s">
        <v>48</v>
      </c>
    </row>
    <row r="13" customFormat="false" ht="31.5" hidden="false" customHeight="true" outlineLevel="0" collapsed="false">
      <c r="A13" s="8" t="n">
        <v>6</v>
      </c>
      <c r="B13" s="8" t="s">
        <v>49</v>
      </c>
      <c r="C13" s="18" t="s">
        <v>50</v>
      </c>
      <c r="D13" s="16" t="s">
        <v>21</v>
      </c>
      <c r="E13" s="8" t="s">
        <v>51</v>
      </c>
      <c r="F13" s="11" t="n">
        <v>10</v>
      </c>
      <c r="G13" s="8" t="n">
        <f aca="false">MAX($H$8,$H$9,$H$10)+1</f>
        <v>7</v>
      </c>
      <c r="H13" s="8" t="n">
        <f aca="false">G13+F13-1</f>
        <v>16</v>
      </c>
      <c r="I13" s="12" t="n">
        <f aca="false">$B$4+G13</f>
        <v>46294</v>
      </c>
      <c r="J13" s="12" t="n">
        <f aca="false">$B$4+H13</f>
        <v>46303</v>
      </c>
      <c r="K13" s="13" t="s">
        <v>52</v>
      </c>
      <c r="L13" s="14" t="s">
        <v>53</v>
      </c>
      <c r="M13" s="13" t="s">
        <v>54</v>
      </c>
      <c r="N13" s="15" t="s">
        <v>55</v>
      </c>
    </row>
    <row r="14" customFormat="false" ht="31.5" hidden="false" customHeight="true" outlineLevel="0" collapsed="false">
      <c r="A14" s="8" t="n">
        <v>7</v>
      </c>
      <c r="B14" s="8" t="s">
        <v>56</v>
      </c>
      <c r="C14" s="18" t="s">
        <v>50</v>
      </c>
      <c r="D14" s="16" t="s">
        <v>21</v>
      </c>
      <c r="E14" s="8" t="s">
        <v>57</v>
      </c>
      <c r="F14" s="11" t="n">
        <v>7</v>
      </c>
      <c r="G14" s="8" t="n">
        <f aca="false">$H$13+1</f>
        <v>17</v>
      </c>
      <c r="H14" s="8" t="n">
        <f aca="false">G14+F14-1</f>
        <v>23</v>
      </c>
      <c r="I14" s="12" t="n">
        <f aca="false">$B$4+G14</f>
        <v>46304</v>
      </c>
      <c r="J14" s="12" t="n">
        <f aca="false">$B$4+H14</f>
        <v>46310</v>
      </c>
      <c r="K14" s="13" t="s">
        <v>58</v>
      </c>
      <c r="L14" s="14" t="s">
        <v>59</v>
      </c>
      <c r="M14" s="13" t="s">
        <v>60</v>
      </c>
      <c r="N14" s="15" t="s">
        <v>61</v>
      </c>
    </row>
    <row r="15" customFormat="false" ht="31.5" hidden="false" customHeight="true" outlineLevel="0" collapsed="false">
      <c r="A15" s="8" t="n">
        <v>8</v>
      </c>
      <c r="B15" s="8" t="s">
        <v>62</v>
      </c>
      <c r="C15" s="18" t="s">
        <v>50</v>
      </c>
      <c r="D15" s="16" t="s">
        <v>63</v>
      </c>
      <c r="E15" s="8" t="s">
        <v>64</v>
      </c>
      <c r="F15" s="11" t="n">
        <v>7</v>
      </c>
      <c r="G15" s="8" t="n">
        <f aca="false">$H$14+1</f>
        <v>24</v>
      </c>
      <c r="H15" s="8" t="n">
        <f aca="false">G15+F15-1</f>
        <v>30</v>
      </c>
      <c r="I15" s="12" t="n">
        <f aca="false">$B$4+G15</f>
        <v>46311</v>
      </c>
      <c r="J15" s="12" t="n">
        <f aca="false">$B$4+H15</f>
        <v>46317</v>
      </c>
      <c r="K15" s="13" t="s">
        <v>65</v>
      </c>
      <c r="L15" s="14" t="s">
        <v>66</v>
      </c>
      <c r="M15" s="13" t="s">
        <v>67</v>
      </c>
      <c r="N15" s="15" t="s">
        <v>68</v>
      </c>
    </row>
    <row r="16" customFormat="false" ht="31.5" hidden="false" customHeight="true" outlineLevel="0" collapsed="false">
      <c r="A16" s="8" t="n">
        <v>9</v>
      </c>
      <c r="B16" s="8" t="s">
        <v>69</v>
      </c>
      <c r="C16" s="18" t="s">
        <v>50</v>
      </c>
      <c r="D16" s="16" t="s">
        <v>63</v>
      </c>
      <c r="E16" s="8" t="s">
        <v>70</v>
      </c>
      <c r="F16" s="11" t="n">
        <v>3</v>
      </c>
      <c r="G16" s="8" t="n">
        <f aca="false">$H$15+1</f>
        <v>31</v>
      </c>
      <c r="H16" s="8" t="n">
        <f aca="false">G16+F16-1</f>
        <v>33</v>
      </c>
      <c r="I16" s="12" t="n">
        <f aca="false">$B$4+G16</f>
        <v>46318</v>
      </c>
      <c r="J16" s="12" t="n">
        <f aca="false">$B$4+H16</f>
        <v>46320</v>
      </c>
      <c r="K16" s="13" t="s">
        <v>71</v>
      </c>
      <c r="L16" s="14" t="s">
        <v>72</v>
      </c>
      <c r="M16" s="13" t="s">
        <v>73</v>
      </c>
      <c r="N16" s="15" t="s">
        <v>74</v>
      </c>
    </row>
    <row r="17" customFormat="false" ht="31.5" hidden="false" customHeight="true" outlineLevel="0" collapsed="false">
      <c r="A17" s="8" t="n">
        <v>10</v>
      </c>
      <c r="B17" s="8" t="s">
        <v>75</v>
      </c>
      <c r="C17" s="19" t="s">
        <v>76</v>
      </c>
      <c r="D17" s="16" t="s">
        <v>63</v>
      </c>
      <c r="E17" s="8" t="s">
        <v>77</v>
      </c>
      <c r="F17" s="11" t="n">
        <v>10</v>
      </c>
      <c r="G17" s="8" t="n">
        <f aca="false">MAX($H$12,$H$16,$H$11)+1</f>
        <v>34</v>
      </c>
      <c r="H17" s="8" t="n">
        <f aca="false">G17+F17-1</f>
        <v>43</v>
      </c>
      <c r="I17" s="12" t="n">
        <f aca="false">$B$4+G17</f>
        <v>46321</v>
      </c>
      <c r="J17" s="12" t="n">
        <f aca="false">$B$4+H17</f>
        <v>46330</v>
      </c>
      <c r="K17" s="13" t="s">
        <v>78</v>
      </c>
      <c r="L17" s="14" t="s">
        <v>79</v>
      </c>
      <c r="M17" s="13" t="s">
        <v>80</v>
      </c>
      <c r="N17" s="15" t="s">
        <v>81</v>
      </c>
    </row>
    <row r="20" customFormat="false" ht="15" hidden="false" customHeight="true" outlineLevel="0" collapsed="false">
      <c r="A20" s="4" t="s">
        <v>82</v>
      </c>
      <c r="B20" s="20" t="s">
        <v>20</v>
      </c>
      <c r="C20" s="21" t="s">
        <v>50</v>
      </c>
      <c r="D20" s="22" t="s">
        <v>43</v>
      </c>
      <c r="E20" s="23" t="s">
        <v>76</v>
      </c>
    </row>
    <row r="23" customFormat="false" ht="15" hidden="false" customHeight="true" outlineLevel="0" collapsed="false">
      <c r="A23" s="4" t="s">
        <v>83</v>
      </c>
    </row>
    <row r="24" customFormat="false" ht="15" hidden="false" customHeight="true" outlineLevel="0" collapsed="false">
      <c r="A24" s="24" t="s">
        <v>84</v>
      </c>
      <c r="B24" s="24" t="s">
        <v>85</v>
      </c>
      <c r="C24" s="24" t="s">
        <v>86</v>
      </c>
    </row>
    <row r="25" customFormat="false" ht="39.75" hidden="false" customHeight="true" outlineLevel="0" collapsed="false">
      <c r="A25" s="13" t="s">
        <v>87</v>
      </c>
      <c r="B25" s="13" t="s">
        <v>88</v>
      </c>
      <c r="C25" s="13" t="s">
        <v>89</v>
      </c>
    </row>
    <row r="26" customFormat="false" ht="15" hidden="false" customHeight="true" outlineLevel="0" collapsed="false">
      <c r="A26" s="1" t="s">
        <v>87</v>
      </c>
      <c r="B26" s="1" t="s">
        <v>90</v>
      </c>
      <c r="C26" s="1" t="s">
        <v>91</v>
      </c>
    </row>
    <row r="27" customFormat="false" ht="15" hidden="false" customHeight="true" outlineLevel="0" collapsed="false">
      <c r="A27" s="1" t="s">
        <v>87</v>
      </c>
      <c r="B27" s="1" t="s">
        <v>92</v>
      </c>
      <c r="C27" s="1" t="s">
        <v>93</v>
      </c>
    </row>
    <row r="28" customFormat="false" ht="15" hidden="false" customHeight="true" outlineLevel="0" collapsed="false">
      <c r="A28" s="1" t="s">
        <v>87</v>
      </c>
      <c r="B28" s="1" t="s">
        <v>94</v>
      </c>
      <c r="C28" s="1" t="s">
        <v>95</v>
      </c>
    </row>
    <row r="29" customFormat="false" ht="15" hidden="false" customHeight="true" outlineLevel="0" collapsed="false">
      <c r="A29" s="1" t="s">
        <v>87</v>
      </c>
      <c r="B29" s="1" t="s">
        <v>96</v>
      </c>
      <c r="C29" s="1" t="s">
        <v>97</v>
      </c>
    </row>
    <row r="30" customFormat="false" ht="15" hidden="false" customHeight="true" outlineLevel="0" collapsed="false">
      <c r="A30" s="1" t="s">
        <v>87</v>
      </c>
      <c r="B30" s="1" t="s">
        <v>98</v>
      </c>
      <c r="C30" s="1" t="s">
        <v>99</v>
      </c>
    </row>
    <row r="31" customFormat="false" ht="15" hidden="false" customHeight="true" outlineLevel="0" collapsed="false">
      <c r="A31" s="1" t="s">
        <v>87</v>
      </c>
      <c r="B31" s="1" t="s">
        <v>100</v>
      </c>
      <c r="C31" s="1" t="s">
        <v>101</v>
      </c>
    </row>
    <row r="32" customFormat="false" ht="15" hidden="false" customHeight="true" outlineLevel="0" collapsed="false">
      <c r="A32" s="1" t="s">
        <v>87</v>
      </c>
      <c r="B32" s="1" t="s">
        <v>102</v>
      </c>
      <c r="C32" s="1" t="s">
        <v>103</v>
      </c>
    </row>
    <row r="33" customFormat="false" ht="15" hidden="false" customHeight="true" outlineLevel="0" collapsed="false">
      <c r="A33" s="1" t="s">
        <v>87</v>
      </c>
      <c r="B33" s="1" t="s">
        <v>104</v>
      </c>
      <c r="C33" s="1" t="s">
        <v>105</v>
      </c>
    </row>
    <row r="34" customFormat="false" ht="15" hidden="false" customHeight="true" outlineLevel="0" collapsed="false">
      <c r="A34" s="1" t="s">
        <v>87</v>
      </c>
      <c r="B34" s="1" t="s">
        <v>106</v>
      </c>
      <c r="C34" s="1" t="s">
        <v>107</v>
      </c>
    </row>
    <row r="35" customFormat="false" ht="15" hidden="false" customHeight="true" outlineLevel="0" collapsed="false">
      <c r="A35" s="1" t="s">
        <v>87</v>
      </c>
      <c r="B35" s="1" t="s">
        <v>108</v>
      </c>
      <c r="C35" s="1" t="s">
        <v>109</v>
      </c>
    </row>
    <row r="36" customFormat="false" ht="15" hidden="false" customHeight="false" outlineLevel="0" collapsed="false">
      <c r="A36" s="1" t="s">
        <v>87</v>
      </c>
      <c r="B36" s="1" t="s">
        <v>110</v>
      </c>
      <c r="C36" s="1" t="s">
        <v>111</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112</v>
      </c>
      <c r="B1" s="2"/>
      <c r="C1" s="2"/>
      <c r="D1" s="2"/>
      <c r="E1" s="2"/>
      <c r="F1" s="2"/>
      <c r="G1" s="2"/>
      <c r="H1" s="2"/>
    </row>
    <row r="2" customFormat="false" ht="15" hidden="false" customHeight="true" outlineLevel="0" collapsed="false">
      <c r="A2" s="3" t="s">
        <v>113</v>
      </c>
      <c r="B2" s="3"/>
      <c r="C2" s="3"/>
      <c r="D2" s="3"/>
      <c r="E2" s="3"/>
      <c r="F2" s="3"/>
      <c r="G2" s="3"/>
      <c r="H2" s="3"/>
    </row>
    <row r="4" customFormat="false" ht="15" hidden="false" customHeight="true" outlineLevel="0" collapsed="false">
      <c r="A4" s="4" t="s">
        <v>5</v>
      </c>
      <c r="B4" s="4" t="s">
        <v>114</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115</v>
      </c>
      <c r="AX4" s="26" t="s">
        <v>116</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[Done]</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[Done]</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[Done]</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[Not started]</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82</v>
      </c>
      <c r="B19" s="20" t="s">
        <v>20</v>
      </c>
      <c r="C19" s="21" t="s">
        <v>50</v>
      </c>
      <c r="D19" s="22" t="s">
        <v>43</v>
      </c>
      <c r="E19" s="23" t="s">
        <v>76</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2026-09-20T02:02:47Z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