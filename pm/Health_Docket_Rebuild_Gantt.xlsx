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ask Plan" sheetId="1" state="visible" r:id="rId1"/>
    <sheet xmlns:r="http://schemas.openxmlformats.org/officeDocument/2006/relationships" name="Gantt"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m/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0"/>
    </font>
    <font>
      <name val="Arial"/>
      <charset val="1"/>
      <family val="0"/>
      <b val="1"/>
      <sz val="11"/>
    </font>
    <font>
      <name val="Arial"/>
      <charset val="1"/>
      <family val="0"/>
      <color rgb="FF0000FF"/>
      <sz val="11"/>
    </font>
    <font>
      <name val="Arial"/>
      <charset val="1"/>
      <family val="0"/>
      <b val="1"/>
      <color rgb="FFFFFFFF"/>
      <sz val="11"/>
    </font>
    <font>
      <name val="Arial"/>
      <charset val="1"/>
      <family val="0"/>
      <sz val="11"/>
    </font>
    <font>
      <name val="Arial"/>
      <charset val="1"/>
      <family val="0"/>
      <sz val="9"/>
    </font>
    <font>
      <name val="Arial"/>
      <charset val="1"/>
      <family val="0"/>
      <i val="1"/>
      <sz val="9"/>
    </font>
    <font>
      <name val="Arial"/>
      <charset val="1"/>
      <family val="0"/>
      <color rgb="FF1F5C2E"/>
      <sz val="9"/>
    </font>
    <font>
      <name val="Arial"/>
      <charset val="1"/>
      <family val="0"/>
      <color rgb="FF999999"/>
      <sz val="7"/>
    </font>
    <font>
      <name val="Arial"/>
      <charset val="1"/>
      <family val="0"/>
      <b val="1"/>
      <sz val="8"/>
    </font>
    <font>
      <name val="Arial"/>
      <charset val="1"/>
      <family val="0"/>
      <color rgb="FFAAAAAA"/>
      <sz val="8"/>
    </font>
  </fonts>
  <fills count="14">
    <fill>
      <patternFill/>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7" fillId="2" borderId="0" applyAlignment="1" pivotButton="0" quotePrefix="0" xfId="0">
      <alignment horizontal="general" vertical="bottom"/>
    </xf>
    <xf numFmtId="164" fontId="0" fillId="0" borderId="0" applyAlignment="1" pivotButton="0" quotePrefix="0" xfId="0">
      <alignment horizontal="general" vertical="bottom"/>
    </xf>
    <xf numFmtId="0" fontId="8" fillId="3" borderId="0" applyAlignment="1" pivotButton="0" quotePrefix="0" xfId="0">
      <alignment horizontal="general" vertical="center" wrapText="1"/>
    </xf>
    <xf numFmtId="0" fontId="9" fillId="0" borderId="0" applyAlignment="1" pivotButton="0" quotePrefix="0" xfId="0">
      <alignment horizontal="general" vertical="bottom"/>
    </xf>
    <xf numFmtId="0" fontId="9" fillId="4" borderId="0" applyAlignment="1" pivotButton="0" quotePrefix="0" xfId="0">
      <alignment horizontal="general" vertical="bottom"/>
    </xf>
    <xf numFmtId="0" fontId="6" fillId="5" borderId="0" applyAlignment="1" pivotButton="0" quotePrefix="0" xfId="0">
      <alignment horizontal="general" vertical="bottom"/>
    </xf>
    <xf numFmtId="0" fontId="7" fillId="2" borderId="0" applyAlignment="1" pivotButton="0" quotePrefix="0" xfId="0">
      <alignment horizontal="general" vertical="bottom"/>
    </xf>
    <xf numFmtId="164"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6" fillId="6" borderId="0" applyAlignment="1" pivotButton="0" quotePrefix="0" xfId="0">
      <alignment horizontal="general" vertical="bottom"/>
    </xf>
    <xf numFmtId="0" fontId="9" fillId="7" borderId="0" applyAlignment="1" pivotButton="0" quotePrefix="0" xfId="0">
      <alignment horizontal="general" vertical="bottom"/>
    </xf>
    <xf numFmtId="0" fontId="9" fillId="8" borderId="0" applyAlignment="1" pivotButton="0" quotePrefix="0" xfId="0">
      <alignment horizontal="general" vertical="bottom"/>
    </xf>
    <xf numFmtId="0" fontId="9" fillId="9" borderId="0" applyAlignment="1" pivotButton="0" quotePrefix="0" xfId="0">
      <alignment horizontal="general" vertical="bottom"/>
    </xf>
    <xf numFmtId="0" fontId="8" fillId="10" borderId="0" applyAlignment="1" pivotButton="0" quotePrefix="0" xfId="0">
      <alignment horizontal="general" vertical="bottom"/>
    </xf>
    <xf numFmtId="0" fontId="8" fillId="11" borderId="0" applyAlignment="1" pivotButton="0" quotePrefix="0" xfId="0">
      <alignment horizontal="general" vertical="bottom"/>
    </xf>
    <xf numFmtId="0" fontId="8" fillId="12" borderId="0" applyAlignment="1" pivotButton="0" quotePrefix="0" xfId="0">
      <alignment horizontal="general" vertical="bottom"/>
    </xf>
    <xf numFmtId="0" fontId="8" fillId="13" borderId="0" applyAlignment="1" pivotButton="0" quotePrefix="0" xfId="0">
      <alignment horizontal="general" vertical="bottom"/>
    </xf>
    <xf numFmtId="0" fontId="8" fillId="3" borderId="0" applyAlignment="1" pivotButton="0" quotePrefix="0" xfId="0">
      <alignment horizontal="general" vertical="bottom"/>
    </xf>
    <xf numFmtId="0" fontId="13" fillId="0" borderId="0" applyAlignment="1" pivotButton="0" quotePrefix="0" xfId="0">
      <alignment horizontal="center" vertical="bottom"/>
    </xf>
    <xf numFmtId="0" fontId="14" fillId="0" borderId="0" applyAlignment="1" pivotButton="0" quotePrefix="0" xfId="0">
      <alignment horizontal="general" vertical="bottom"/>
    </xf>
    <xf numFmtId="165" fontId="13" fillId="0" borderId="0" applyAlignment="1" pivotButton="0" quotePrefix="0" xfId="0">
      <alignment horizontal="center" vertical="bottom" textRotation="90"/>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7" fillId="2" borderId="0" applyAlignment="1" pivotButton="0" quotePrefix="0" xfId="0">
      <alignment horizontal="general" vertical="bottom"/>
    </xf>
    <xf numFmtId="164" fontId="0" fillId="0" borderId="0" applyAlignment="1" pivotButton="0" quotePrefix="0" xfId="0">
      <alignment horizontal="general" vertical="bottom"/>
    </xf>
    <xf numFmtId="0" fontId="8" fillId="3" borderId="0" applyAlignment="1" pivotButton="0" quotePrefix="0" xfId="0">
      <alignment horizontal="general" vertical="center" wrapText="1"/>
    </xf>
    <xf numFmtId="0" fontId="9" fillId="0" borderId="0" applyAlignment="1" pivotButton="0" quotePrefix="0" xfId="0">
      <alignment horizontal="general" vertical="bottom"/>
    </xf>
    <xf numFmtId="0" fontId="9" fillId="4" borderId="0" applyAlignment="1" pivotButton="0" quotePrefix="0" xfId="0">
      <alignment horizontal="general" vertical="bottom"/>
    </xf>
    <xf numFmtId="0" fontId="6" fillId="5" borderId="0" applyAlignment="1" pivotButton="0" quotePrefix="0" xfId="0">
      <alignment horizontal="general" vertical="bottom"/>
    </xf>
    <xf numFmtId="0" fontId="7" fillId="2" borderId="0" applyAlignment="1" pivotButton="0" quotePrefix="0" xfId="0">
      <alignment horizontal="general" vertical="bottom"/>
    </xf>
    <xf numFmtId="164"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6" fillId="6" borderId="0" applyAlignment="1" pivotButton="0" quotePrefix="0" xfId="0">
      <alignment horizontal="general" vertical="bottom"/>
    </xf>
    <xf numFmtId="0" fontId="9" fillId="7" borderId="0" applyAlignment="1" pivotButton="0" quotePrefix="0" xfId="0">
      <alignment horizontal="general" vertical="bottom"/>
    </xf>
    <xf numFmtId="0" fontId="9" fillId="8" borderId="0" applyAlignment="1" pivotButton="0" quotePrefix="0" xfId="0">
      <alignment horizontal="general" vertical="bottom"/>
    </xf>
    <xf numFmtId="0" fontId="9" fillId="9" borderId="0" applyAlignment="1" pivotButton="0" quotePrefix="0" xfId="0">
      <alignment horizontal="general" vertical="bottom"/>
    </xf>
    <xf numFmtId="0" fontId="8" fillId="10" borderId="0" applyAlignment="1" pivotButton="0" quotePrefix="0" xfId="0">
      <alignment horizontal="general" vertical="bottom"/>
    </xf>
    <xf numFmtId="0" fontId="8" fillId="11" borderId="0" applyAlignment="1" pivotButton="0" quotePrefix="0" xfId="0">
      <alignment horizontal="general" vertical="bottom"/>
    </xf>
    <xf numFmtId="0" fontId="8" fillId="12" borderId="0" applyAlignment="1" pivotButton="0" quotePrefix="0" xfId="0">
      <alignment horizontal="general" vertical="bottom"/>
    </xf>
    <xf numFmtId="0" fontId="8" fillId="13" borderId="0" applyAlignment="1" pivotButton="0" quotePrefix="0" xfId="0">
      <alignment horizontal="general" vertical="bottom"/>
    </xf>
    <xf numFmtId="0" fontId="8" fillId="3" borderId="0" applyAlignment="1" pivotButton="0" quotePrefix="0" xfId="0">
      <alignment horizontal="general" vertical="bottom"/>
    </xf>
    <xf numFmtId="0" fontId="13" fillId="0" borderId="0" applyAlignment="1" pivotButton="0" quotePrefix="0" xfId="0">
      <alignment horizontal="center" vertical="bottom"/>
    </xf>
    <xf numFmtId="0" fontId="14" fillId="0" borderId="0" applyAlignment="1" pivotButton="0" quotePrefix="0" xfId="0">
      <alignment horizontal="general" vertical="bottom"/>
    </xf>
    <xf numFmtId="165" fontId="13" fillId="0" borderId="0" applyAlignment="1" pivotButton="0" quotePrefix="0" xfId="0">
      <alignment horizontal="center" vertical="bottom" textRotation="90"/>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43"/>
  <sheetViews>
    <sheetView showFormulas="0" showGridLines="1" showRowColHeaders="1" showZeros="1" rightToLeft="0" tabSelected="1"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1" min="1" max="1"/>
    <col width="26" customWidth="1" style="31" min="2" max="2"/>
    <col width="15" customWidth="1" style="31" min="3" max="3"/>
    <col width="13" customWidth="1" style="31" min="4" max="4"/>
    <col width="14" customWidth="1" style="31" min="5" max="5"/>
    <col width="12" customWidth="1" style="31" min="6" max="6"/>
    <col width="10" customWidth="1" style="31" min="7" max="8"/>
    <col width="12" customWidth="1" style="31" min="9" max="10"/>
    <col width="30" customWidth="1" style="31" min="11" max="11"/>
    <col width="34" customWidth="1" style="31" min="12" max="12"/>
    <col width="40" customWidth="1" style="31" min="13" max="13"/>
    <col width="44" customWidth="1" style="31" min="14" max="14"/>
  </cols>
  <sheetData>
    <row r="1" ht="17.25" customHeight="1" s="32">
      <c r="A1" s="33" t="inlineStr">
        <is>
          <t>Health Docket — Repo Restructuring Gantt</t>
        </is>
      </c>
    </row>
    <row r="2" ht="15" customHeight="1" s="32">
      <c r="A2" s="34" t="inlineStr">
        <is>
          <t>Edit yellow cells only: Status, and Duration/Manual Start where shown. Everything else recalculates. Task list/phases/dependencies from policy-docket-design-spec.docx §8 (spec of record); durations are Claude's estimates, not from the spec.</t>
        </is>
      </c>
    </row>
    <row r="4" ht="15" customHeight="1" s="32">
      <c r="A4" s="35" t="inlineStr">
        <is>
          <t>Project Start Date</t>
        </is>
      </c>
      <c r="B4" s="36" t="inlineStr">
        <is>
          <t>2026-09-22</t>
        </is>
      </c>
    </row>
    <row r="5" ht="15" customHeight="1" s="32">
      <c r="A5" s="35" t="inlineStr">
        <is>
          <t>As of / today</t>
        </is>
      </c>
      <c r="B5" s="37">
        <f>TODAY()</f>
        <v/>
      </c>
    </row>
    <row r="7" ht="51.75" customHeight="1" s="32">
      <c r="A7" s="38" t="inlineStr">
        <is>
          <t>ID</t>
        </is>
      </c>
      <c r="B7" s="38" t="inlineStr">
        <is>
          <t>Task</t>
        </is>
      </c>
      <c r="C7" s="38" t="inlineStr">
        <is>
          <t>Phase</t>
        </is>
      </c>
      <c r="D7" s="38" t="inlineStr">
        <is>
          <t>Status</t>
        </is>
      </c>
      <c r="E7" s="38" t="inlineStr">
        <is>
          <t>Predecessor(s)</t>
        </is>
      </c>
      <c r="F7" s="38" t="inlineStr">
        <is>
          <t>Duration (days, Claude's estimate)</t>
        </is>
      </c>
      <c r="G7" s="38" t="inlineStr">
        <is>
          <t>Start Offset</t>
        </is>
      </c>
      <c r="H7" s="38" t="inlineStr">
        <is>
          <t>End Offset</t>
        </is>
      </c>
      <c r="I7" s="38" t="inlineStr">
        <is>
          <t>Start Date</t>
        </is>
      </c>
      <c r="J7" s="38" t="inlineStr">
        <is>
          <t>End Date</t>
        </is>
      </c>
      <c r="K7" s="38" t="inlineStr">
        <is>
          <t>Files this task creates/changes</t>
        </is>
      </c>
      <c r="L7" s="38" t="inlineStr">
        <is>
          <t>Notes</t>
        </is>
      </c>
      <c r="M7" s="38" t="inlineStr">
        <is>
          <t>Design reference (policy-docket-design-spec.docx)</t>
        </is>
      </c>
      <c r="N7" s="38" t="inlineStr">
        <is>
          <t>Verify done (run this yourself)</t>
        </is>
      </c>
    </row>
    <row r="8" ht="31.5" customHeight="1" s="32">
      <c r="A8" s="39" t="n">
        <v>1</v>
      </c>
      <c r="B8" s="39" t="inlineStr">
        <is>
          <t>Design &amp; migrate schema</t>
        </is>
      </c>
      <c r="C8" s="40" t="inlineStr">
        <is>
          <t>Foundation</t>
        </is>
      </c>
      <c r="D8" s="41" t="inlineStr">
        <is>
          <t>Done</t>
        </is>
      </c>
      <c r="E8" s="39" t="inlineStr">
        <is>
          <t>—</t>
        </is>
      </c>
      <c r="F8" s="42" t="n">
        <v>7</v>
      </c>
      <c r="G8" s="42" t="n">
        <v>0</v>
      </c>
      <c r="H8" s="39">
        <f>G8+F8-1</f>
        <v/>
      </c>
      <c r="I8" s="43">
        <f>$B$4+G8</f>
        <v/>
      </c>
      <c r="J8" s="43">
        <f>$B$4+H8</f>
        <v/>
      </c>
      <c r="K8" s="44" t="inlineStr">
        <is>
          <t>db/schema.sql; db/migrate.py; db/health_docket.db (generated by migrate.py, gitignored — never committed)</t>
        </is>
      </c>
      <c r="L8" s="45" t="inlineStr">
        <is>
          <t>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is>
      </c>
      <c r="M8" s="44" t="inlineStr">
        <is>
          <t>Spec §4 Data Model — column-level detail for bodies/meetings/meeting_documents/meeting_subjects, plus the full 11-table schema in §4 of the earlier system-design.docx.</t>
        </is>
      </c>
      <c r="N8" s="46" t="inlineStr">
        <is>
          <t>Run the migration script; row counts in the new tables must match meetings.json/briefing.json exactly, and every meeting_id/body_id foreign key must resolve — no orphans.</t>
        </is>
      </c>
    </row>
    <row r="9" ht="31.5" customHeight="1" s="32">
      <c r="A9" s="39" t="n">
        <v>2</v>
      </c>
      <c r="B9" s="39" t="inlineStr">
        <is>
          <t>Verify Legistar API access (nnph-dboh)</t>
        </is>
      </c>
      <c r="C9" s="40" t="inlineStr">
        <is>
          <t>Foundation</t>
        </is>
      </c>
      <c r="D9" s="47" t="inlineStr">
        <is>
          <t>Done</t>
        </is>
      </c>
      <c r="E9" s="39" t="inlineStr">
        <is>
          <t>—</t>
        </is>
      </c>
      <c r="F9" s="42" t="n">
        <v>3</v>
      </c>
      <c r="G9" s="42" t="n">
        <v>0</v>
      </c>
      <c r="H9" s="39">
        <f>G9+F9-1</f>
        <v/>
      </c>
      <c r="I9" s="43">
        <f>$B$4+G9</f>
        <v/>
      </c>
      <c r="J9" s="43">
        <f>$B$4+H9</f>
        <v/>
      </c>
      <c r="K9" s="44" t="inlineStr">
        <is>
          <t>scrapers/legistar.py</t>
        </is>
      </c>
      <c r="L9" s="45" t="inlineStr">
        <is>
          <t>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is>
      </c>
      <c r="M9" s="44" t="inlineStr">
        <is>
          <t>Spec §10 Risks &amp; Open Questions — "Legistar API access unconfirmed" row; scrapers/legistar.py already has the webapi.legistar.com attempt + HTML fallback.</t>
        </is>
      </c>
      <c r="N9" s="46" t="inlineStr">
        <is>
          <t>Call webapi.legistar.com/v1/washoe/events directly; confirm it returns real event JSON, not an error. If it fails, run the HTML-fallback path in legistar.py and confirm it returns real meetings for 'Northern Nevada Public Health' (not zero, per the body_name bug above).</t>
        </is>
      </c>
    </row>
    <row r="10" ht="31.5" customHeight="1" s="32">
      <c r="A10" s="39" t="n">
        <v>3</v>
      </c>
      <c r="B10" s="39" t="inlineStr">
        <is>
          <t>Harden NELIS scraper selectors</t>
        </is>
      </c>
      <c r="C10" s="40" t="inlineStr">
        <is>
          <t>Foundation</t>
        </is>
      </c>
      <c r="D10" s="47" t="inlineStr">
        <is>
          <t>Done</t>
        </is>
      </c>
      <c r="E10" s="39" t="inlineStr">
        <is>
          <t>—</t>
        </is>
      </c>
      <c r="F10" s="42" t="n">
        <v>4</v>
      </c>
      <c r="G10" s="42" t="n">
        <v>0</v>
      </c>
      <c r="H10" s="39">
        <f>G10+F10-1</f>
        <v/>
      </c>
      <c r="I10" s="43">
        <f>$B$4+G10</f>
        <v/>
      </c>
      <c r="J10" s="43">
        <f>$B$4+H10</f>
        <v/>
      </c>
      <c r="K10" s="44" t="inlineStr">
        <is>
          <t>scrapers/nelis.py</t>
        </is>
      </c>
      <c r="L10" s="45" t="inlineStr">
        <is>
          <t>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is>
      </c>
      <c r="M10" s="44" t="inlineStr">
        <is>
          <t>Spec §10 Risks &amp; Open Questions — "NELIS selectors unverified... Open — Task 3 in the build plan."</t>
        </is>
      </c>
      <c r="N10" s="46" t="inlineStr">
        <is>
          <t>Run scrapers/nelis.py against the live leg.state.nv.us site; confirm it returns real meeting rows for the Joint Interim Standing Committee on Health &amp; Human Services, not an empty list.</t>
        </is>
      </c>
    </row>
    <row r="11" ht="31.5" customHeight="1" s="32">
      <c r="A11" s="39" t="n">
        <v>4</v>
      </c>
      <c r="B11" s="39" t="inlineStr">
        <is>
          <t>Provision hosting</t>
        </is>
      </c>
      <c r="C11" s="40" t="inlineStr">
        <is>
          <t>Foundation</t>
        </is>
      </c>
      <c r="D11" s="47" t="inlineStr">
        <is>
          <t>Done</t>
        </is>
      </c>
      <c r="E11" s="39" t="inlineStr">
        <is>
          <t>—</t>
        </is>
      </c>
      <c r="F11" s="42" t="n">
        <v>4</v>
      </c>
      <c r="G11" s="42" t="n">
        <v>3</v>
      </c>
      <c r="H11" s="39">
        <f>G11+F11-1</f>
        <v/>
      </c>
      <c r="I11" s="43">
        <f>$B$4+G11</f>
        <v/>
      </c>
      <c r="J11" s="43">
        <f>$B$4+H11</f>
        <v/>
      </c>
      <c r="K11" s="44" t="inlineStr">
        <is>
          <t>deploy/render.yaml (or fly.toml); deploy/.env.example</t>
        </is>
      </c>
      <c r="L11" s="45" t="inlineStr">
        <is>
          <t>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is>
      </c>
      <c r="M11" s="44" t="inlineStr">
        <is>
          <t>Spec §9.3 Rough cost estimate — hosting ~$5-10/mo (Render, Railway, Fly.io, or a cheap VPS).</t>
        </is>
      </c>
      <c r="N11" s="46" t="inlineStr">
        <is>
          <t>Hit the hosted app's URL from a browser with no VPN, on a different network than Jack's Mac; confirm it actually responds, not just reachable on localhost.</t>
        </is>
      </c>
    </row>
    <row r="12" ht="31.5" customHeight="1" s="32">
      <c r="A12" s="39" t="n">
        <v>5</v>
      </c>
      <c r="B12" s="39" t="inlineStr">
        <is>
          <t>Backend API</t>
        </is>
      </c>
      <c r="C12" s="48" t="inlineStr">
        <is>
          <t>Backend/Frontend</t>
        </is>
      </c>
      <c r="D12" s="47" t="inlineStr">
        <is>
          <t>Done</t>
        </is>
      </c>
      <c r="E12" s="39" t="inlineStr">
        <is>
          <t>T1</t>
        </is>
      </c>
      <c r="F12" s="42" t="n">
        <v>10</v>
      </c>
      <c r="G12" s="39">
        <f>$H$8+1</f>
        <v/>
      </c>
      <c r="H12" s="39">
        <f>G12+F12-1</f>
        <v/>
      </c>
      <c r="I12" s="43">
        <f>$B$4+G12</f>
        <v/>
      </c>
      <c r="J12" s="43">
        <f>$B$4+H12</f>
        <v/>
      </c>
      <c r="K12" s="44" t="inlineStr">
        <is>
          <t>api/main.py; api/db.py; api/routes/policy_areas.py; api/routes/health.py; api/routes/subjects.py; api/routes/focus_areas.py</t>
        </is>
      </c>
      <c r="L12" s="45" t="inlineStr">
        <is>
          <t>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is>
      </c>
      <c r="M12" s="44" t="inlineStr">
        <is>
          <t>Spec §6 API Specification — 7 endpoints: GET /api/policy-areas, GET /api/policy-areas/{slug}/snapshot, /attention, /bodies, GET /api/subjects/{slug}, GET+POST /api/focus-areas. Every read endpoint returns {data, generated_at}; AI-derived fields nest under model_version (spec §6, NFR3).</t>
        </is>
      </c>
      <c r="N12" s="46" t="inlineStr">
        <is>
          <t>curl each of the 7 endpoints in spec §6 against the running API; confirm each returns the documented JSON envelope {data, generated_at} and the correct error code (404/400) for bad input.</t>
        </is>
      </c>
    </row>
    <row r="13" ht="31.5" customHeight="1" s="32">
      <c r="A13" s="39" t="n">
        <v>6</v>
      </c>
      <c r="B13" s="39" t="inlineStr">
        <is>
          <t>Document capture pipeline</t>
        </is>
      </c>
      <c r="C13" s="49" t="inlineStr">
        <is>
          <t>Data pipeline</t>
        </is>
      </c>
      <c r="D13" s="47" t="inlineStr">
        <is>
          <t>Done</t>
        </is>
      </c>
      <c r="E13" s="39" t="inlineStr">
        <is>
          <t>T1, T2, T3</t>
        </is>
      </c>
      <c r="F13" s="42" t="n">
        <v>10</v>
      </c>
      <c r="G13" s="39">
        <f>MAX($H$8,$H$9,$H$10)+1</f>
        <v/>
      </c>
      <c r="H13" s="39">
        <f>G13+F13-1</f>
        <v/>
      </c>
      <c r="I13" s="43">
        <f>$B$4+G13</f>
        <v/>
      </c>
      <c r="J13" s="43">
        <f>$B$4+H13</f>
        <v/>
      </c>
      <c r="K13" s="44" t="inlineStr">
        <is>
          <t>pipeline/capture_documents.py</t>
        </is>
      </c>
      <c r="L13" s="45" t="inlineStr">
        <is>
          <t>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is>
      </c>
      <c r="M13" s="44" t="inlineStr">
        <is>
          <t>Spec §9.2 pipeline stage table, row 'Capture documents': input = meeting_documents rows with a source_file_url, output = files downloaded + capture_status updated, failure = a 404/auth wall sets capture_status back to not_linked with a logged reason.</t>
        </is>
      </c>
      <c r="N13" s="46" t="inlineStr">
        <is>
          <t>Query meeting_documents after a run; confirm capture_status has moved past 'not_linked' for at least one meeting with a known real agenda/minutes URL, and that the file actually downloaded.</t>
        </is>
      </c>
    </row>
    <row r="14" ht="31.5" customHeight="1" s="32">
      <c r="A14" s="39" t="n">
        <v>7</v>
      </c>
      <c r="B14" s="39" t="inlineStr">
        <is>
          <t>Extraction pipeline (OCR + LLM)</t>
        </is>
      </c>
      <c r="C14" s="49" t="inlineStr">
        <is>
          <t>Data pipeline</t>
        </is>
      </c>
      <c r="D14" s="47" t="inlineStr">
        <is>
          <t>Done</t>
        </is>
      </c>
      <c r="E14" s="39" t="inlineStr">
        <is>
          <t>T6</t>
        </is>
      </c>
      <c r="F14" s="42" t="n">
        <v>7</v>
      </c>
      <c r="G14" s="39">
        <f>$H$13+1</f>
        <v/>
      </c>
      <c r="H14" s="39">
        <f>G14+F14-1</f>
        <v/>
      </c>
      <c r="I14" s="43">
        <f>$B$4+G14</f>
        <v/>
      </c>
      <c r="J14" s="43">
        <f>$B$4+H14</f>
        <v/>
      </c>
      <c r="K14" s="44" t="inlineStr">
        <is>
          <t>pipeline/extract_text.py</t>
        </is>
      </c>
      <c r="L14" s="45" t="inlineStr">
        <is>
          <t>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is>
      </c>
      <c r="M14" s="44" t="inlineStr">
        <is>
          <t>Spec §9.2 pipeline stage table, row 'Extract': input = captured files, output = extracted_text + extraction_status, failure = OCR/LLM failure sets extraction_status='failed', keeps prior state.</t>
        </is>
      </c>
      <c r="N14" s="46" t="inlineStr">
        <is>
          <t>Query a captured meeting's extracted_text column; confirm it holds real text pulled from the actual file, not null/empty, and extraction_status = success.</t>
        </is>
      </c>
    </row>
    <row r="15" ht="31.5" customHeight="1" s="32">
      <c r="A15" s="39" t="n">
        <v>8</v>
      </c>
      <c r="B15" s="39" t="inlineStr">
        <is>
          <t>Subject tagging (LLM)</t>
        </is>
      </c>
      <c r="C15" s="49" t="inlineStr">
        <is>
          <t>Data pipeline</t>
        </is>
      </c>
      <c r="D15" s="47" t="inlineStr">
        <is>
          <t>Done</t>
        </is>
      </c>
      <c r="E15" s="39" t="inlineStr">
        <is>
          <t>T7</t>
        </is>
      </c>
      <c r="F15" s="42" t="n">
        <v>7</v>
      </c>
      <c r="G15" s="39">
        <f>$H$14+1</f>
        <v/>
      </c>
      <c r="H15" s="39">
        <f>G15+F15-1</f>
        <v/>
      </c>
      <c r="I15" s="43">
        <f>$B$4+G15</f>
        <v/>
      </c>
      <c r="J15" s="43">
        <f>$B$4+H15</f>
        <v/>
      </c>
      <c r="K15" s="44" t="inlineStr">
        <is>
          <t>pipeline/tag_subjects.py</t>
        </is>
      </c>
      <c r="L15" s="45" t="inlineStr">
        <is>
          <t>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is>
      </c>
      <c r="M15" s="44" t="inlineStr">
        <is>
          <t>Spec §4.1 meeting_subjects table (meeting_id, subject_id, confidence, tagged_by) + §9.2 pipeline stage 'Tag subjects': below-threshold confidence is stored and surfaced, never discarded.</t>
        </is>
      </c>
      <c r="N15" s="46" t="inlineStr">
        <is>
          <t>Query meeting_subjects for a known meeting (e.g. the House E&amp;C Medicaid hearing already in the repo); confirm a real subject_id and confidence score, tagged_by='ai' — not the old body-level admin tag standing in for it.</t>
        </is>
      </c>
    </row>
    <row r="16" ht="31.5" customHeight="1" s="32">
      <c r="A16" s="39" t="n">
        <v>9</v>
      </c>
      <c r="B16" s="39" t="inlineStr">
        <is>
          <t>Briefing generation upgrade</t>
        </is>
      </c>
      <c r="C16" s="49" t="inlineStr">
        <is>
          <t>Data pipeline</t>
        </is>
      </c>
      <c r="D16" s="47" t="inlineStr">
        <is>
          <t>Done</t>
        </is>
      </c>
      <c r="E16" s="39" t="inlineStr">
        <is>
          <t>T8</t>
        </is>
      </c>
      <c r="F16" s="42" t="n">
        <v>3</v>
      </c>
      <c r="G16" s="39">
        <f>$H$15+1</f>
        <v/>
      </c>
      <c r="H16" s="39">
        <f>G16+F16-1</f>
        <v/>
      </c>
      <c r="I16" s="43">
        <f>$B$4+G16</f>
        <v/>
      </c>
      <c r="J16" s="43">
        <f>$B$4+H16</f>
        <v/>
      </c>
      <c r="K16" s="44" t="inlineStr">
        <is>
          <t>pipeline/generate_briefings.py</t>
        </is>
      </c>
      <c r="L16" s="45" t="inlineStr">
        <is>
          <t>Needs real subject tags from Task 8 (now available -- 51 tags across 25 meetings). Replaces the prototype's scripts/generate_briefing.py (title-only, JSON-file-based) with pipeline/generate_briefings.py, a DB-native module that grounds every note in the real captured document text (Task 7) and the meeting's real subject tags (Task 8), and records model_version -- closing exactly the gap db/schema.sql's own comment on briefings.model_version flagged: "a real gap against NFR3, not a migration artifact." Relevance gating unchanged from the prototype: briefings has no column for "checked, not relevant", and GET /api/policy-areas/{slug}/attention filters on br.id IS NOT NULL, so a not-relevant meeting simply gets no row. Confidence now carries real signal: the model is asked to notice when the captured text reads like a generic listing page rather than meeting-specific content (the exact SNHD/Senate-HELP finding from Task 6) and mark 'unverified' in that case. Verified locally with a mocked Anthropic client across 5 scenarios (relevant meeting gets a row with model_version set, not-relevant meeting gets no row, default run excludes already-briefed meetings, --force replaces cleanly not duplicates, bad model response handled without crashing) -- all passed. Real-data finding from testing: 3 of the briefings rows migrated from the old prototype are stale (title-only, model_version=NULL, pre-dating Tasks 6-8) -- a default run correctly leaves them alone, so the first real run needs --force to actually upgrade them. REAL RUN 2026-09-20 caught a genuine regression: Jack ran it with --force and the prompt's relevance and confidence judgments were entangled -- the model treated "the captured document is a generic listing page" as a reason to mark a meeting not-relevant, not just low-confidence. Concretely, nv-jisc-hhs-2026-08-11 (NV Joint Interim Committee on Health &amp; Human Services) had a real briefing under the old title-only prototype and dropped out entirely after this run, purely because its only captured document is a generic committee page (same root cause as Task 6's SNHD/Senate-HELP finding) -- a real loss of coverage, not expected behavior. Fixed by splitting the prompt into two explicit, independent judgments: relevance from the meeting's topic (title/body/tier/tagged subjects) alone, the same way it would be judged from a title with no document at all; confidence is the only place text-genericness matters. Verified the fix with a mocked client (a relevant-but-generic-text meeting now correctly still gets a row, marked unverified rather than dropped). Committed. Not yet re-run for real -- needs Jack to run --force again so the fix actually regenerates the 21 meetings the flawed prompt skipped. RE-VERIFIED 2026-09-20 after the fix: Jack re-ran --force with the corrected prompt. Result: 22 of 24 eligible meetings got a real briefing (up from 3), 2 correctly skipped as genuinely not relevant to NNPH's admin lane (a drug-pricing competition hearing, an HHS/CDC director confirmation -- both federal/clinical matters with no funding/HR/IT/compliance angle, a sound judgment on topic merit, not document quality). 20 of the 22 are confidence='unverified' (honestly reflecting that most of the corpus's captured documents are generic listing pages per Task 6's finding) and 2 are 'verified' (the two House E&amp;C documents that are genuinely meeting-specific real text). nv-jisc-hhs-2026-08-11 -- the meeting that wrongly dropped out under the buggy prompt -- is back, correctly flagged relevant/unverified with a real note reasoning from the committee's statutory role. Every row has model_version='claude-sonnet-4-5' (0 nulls) -- the NFR3 gap is genuinely closed. Verify-done check passed. Task 9 Done.</t>
        </is>
      </c>
      <c r="M16" s="44" t="inlineStr">
        <is>
          <t>Spec §9.2 pipeline stage table, row 'Generate briefings': input = extracted_text + meeting_subjects, output = briefings rows with model_version.</t>
        </is>
      </c>
      <c r="N16" s="46" t="inlineStr">
        <is>
          <t>Check briefings for that same meeting; confirm the note text reflects the actual extracted agenda/minutes content, not just the meeting title the way the current generator does.</t>
        </is>
      </c>
    </row>
    <row r="17" ht="31.5" customHeight="1" s="32">
      <c r="A17" s="39" t="n">
        <v>10</v>
      </c>
      <c r="B17" s="39" t="inlineStr">
        <is>
          <t>Frontend cutover to live API</t>
        </is>
      </c>
      <c r="C17" s="50" t="inlineStr">
        <is>
          <t>Launch</t>
        </is>
      </c>
      <c r="D17" s="47" t="inlineStr">
        <is>
          <t>Done</t>
        </is>
      </c>
      <c r="E17" s="39" t="inlineStr">
        <is>
          <t>T5, T9, T4</t>
        </is>
      </c>
      <c r="F17" s="42" t="n">
        <v>10</v>
      </c>
      <c r="G17" s="39">
        <f>MAX($H$12,$H$16,$H$11)+1</f>
        <v/>
      </c>
      <c r="H17" s="39">
        <f>G17+F17-1</f>
        <v/>
      </c>
      <c r="I17" s="43">
        <f>$B$4+G17</f>
        <v/>
      </c>
      <c r="J17" s="43">
        <f>$B$4+H17</f>
        <v/>
      </c>
      <c r="K17" s="44" t="inlineStr">
        <is>
          <t>templates/overview.html.j2; templates/health.html.j2; templates/subject.html.j2; static/docket.css; static/docket.js; api/routes/pages.py (new); api/routes/admin.py (new); api/routes/policy_areas.py (added GET /{slug}/subjects); api/main.py (mounts /static, wires the new routers); .github/workflows/weekly-refresh.yml (rewritten); deploy/render.yaml + deploy/.env.example (REFRESH_TOKEN, ANTHROPIC_API_KEY); README.md (rewritten); retired templates/dashboard.html.j2, scripts/render_site.py, scripts/generate_briefing.py, site/index.html</t>
        </is>
      </c>
      <c r="L17" s="45" t="inlineStr">
        <is>
          <t>Real discovery before writing anything: templates/dashboard.html.j2 (the file this row originally assumed would be edited) is a DIFFERENT, older prototype -- a calendar + "Impact Briefing" single-page view that predates the Policy Area taxonomy entirely. The spec's actual three-screen IA (Overview grid -&gt; Policy Area page -&gt; Subject drill-down, §3.1) only ever existed as separate interactive HTML mockups ("Policy Docket") built during design exploration -- reference only per the spec's own front matter, never committed to this repo. So Task 10 was a real build of three new screens from the spec, not an edit of existing hardcoded-array code. Retired the old prototype's templates/dashboard.html.j2, scripts/render_site.py, scripts/generate_briefing.py (already dead since Task 9), and the stale site/index.html build output.
Second real discovery: the live Render database was seeded by db/migrate.py on 2026-09-19 (Task 4), BEFORE Tasks 8-9 produced any real legislative_subjects/meeting_subjects/briefings rows -- and render.yaml's startCommand only runs migrate.py when the db file is missing (by design, to protect focus_areas across redeploys), so simply redeploying will NOT pick up that real data. Also, migrate.py is a destructive drop-and-rebuild, so it can never safely be re-run against a database that already has pipeline data. Net effect: the live site would show empty Policy Area buckets until the live database gets the real Task 8/9 data some other way.
Built all three screens per spec §3.1/§3.3/§7 (Approach A: FastAPI serves the page shells via Jinja2; static/docket.js does the real work, fetching from the JSON API in the browser -- exactly the Network-tab check this row's Verify-done asks for). Templates carry NO meeting data at render time (NFR4) -- only a slug, which is routing information. Overview: 32-bucket grid (FR1), focus-area filter chips (FR8), a global attention strip built by merging each flagged area's own /attention results since no endpoint spans all 32 at once. A bucket with zero tracked bodies says so plainly (checked via a /bodies lookup per area -- the API has no body-count field on the main list endpoint, documented as a known, acceptable-at-this-scale simplification). Policy Area page: cross-tier snapshot strip (FR3), tier tabs, per-body past/upcoming panels with doc-status badges (FR4/FR5, a 6-state ladder including an honest 'extraction failed' state), and each meeting's briefing note shown inline when one exists (FR6), cross-referenced from /attention. Subject page: cross-tier bullet summary sorted soonest-first per tier, ai-tagged vs. human-confirmed badges (§3.3).
Found and closed one real navigation gap: the spec's nav model (§3.2) says a Subject is "only reachable from a Policy Area page," but none of the original 7 endpoints actually lists a policy area's subjects -- there was no data to build that link from. Added GET /api/policy-areas/{slug}/subjects (small, additive, same envelope/404 pattern as the existing endpoints) rather than leave FR7's core navigation broken.
Also found and closed a real hosting/CI gap the cutover exposed: the spec (§5.1) says to "keep GitHub Actions cron for the scrape/capture/extract/tag/brief stages," but a GitHub Actions runner has no way to reach the live database file on Render's disk once the frontend moved off static JSON. Added POST /api/admin/refresh (guarded by a REFRESH_TOKEN header, entered directly on Render and in GitHub Secrets -- never through Claude, per the session's standing credential rule) that runs capture_documents/extract_text/tag_subjects/generate_briefings in-process against the live disk. Rewrote weekly-refresh.yml from scratch to just call that endpoint on the same Monday schedule -- the entire old scrape/render/git-push/Pages-deploy pipeline is gone, since the site is now served live by the same Render app. Deliberately does NOT call db/migrate.py or scripts/run_scrapers.py -- documented as a real, still-open gap (new meetings don't reach the live database automatically; see Known issues) rather than silently papering over it with something destructive.
Tested end-to-end locally against the real local database (14 subjects, 51 tags, 22 briefings from Tasks 8-9): booted the FastAPI app, hit all three pages and the /static assets (200s), confirmed an untracked policy area's /bodies returns [] and renders 'Not yet tracked', confirmed the new /subjects endpoint and /api/subjects/medicaid both return real data, confirmed a 404 on an unknown slug, and exercised POST /api/admin/refresh three ways (no REFRESH_TOKEN configured -&gt; 503; wrong token -&gt; 401; correct token -&gt; ran all four stages, capture/extract correctly no-op'd, tag/briefing correctly failed cleanly without a local ANTHROPIC_API_KEY). Not yet done: pushing this, letting Render redeploy, Jack setting ANTHROPIC_API_KEY + REFRESH_TOKEN on Render and the matching REFRESH_TOKEN in GitHub Secrets, calling the refresh endpoint once for real to backfill the live database with real subject tags and briefings, and then the actual Verify-done check against the live hosted URL. Left In progress, not Done, until that live check is confirmed -- see Known issues and the reply to Jack for the exact remaining steps.
LIVE VERIFICATION 2026-09-20: Jack pushed, set ANTHROPIC_API_KEY + REFRESH_TOKEN on Render and the matching REFRESH_TOKEN as a GitHub Actions secret (generating both himself, never pasted into chat -- one attempt to paste the token here was caught and he generated a fresh one instead), and called POST /api/admin/refresh against the LIVE service himself from his own terminal. Real live-database backfill result: capture_documents 25 captured / 1 not_linked (nnph.org SSL cert failure, a real site problem, not a bug) out of 26; extract_text 25/25 extracted, 0 failed; tag_subjects 44 subject tags stored across 25 meetings (some documents correctly returned zero tags -- generic index/listing pages with no real content, same finding as Tasks 6/9); generate_briefings 16 written, 3 correctly skipped as not relevant, out of 19 attempted. Confirmed independently via direct fetches against the live URL (not Jack's Mac): GET /api/subjects/medicaid returns the real House E&amp;C Oversight &amp; Investigations meeting (confidence 1.0, tagged_by='ai'); GET /api/policy-areas returns real non-zero flagged_count for exactly the areas the live tagging run touched (Health 21, Government Operations and Politics 11, Social Welfare 4, Crime and Law Enforcement 2, Commerce 1, Economics and Public Finance 1, Energy 1) and 0 for the other 25, matching the design spec's own zero-state rule; GET /api/policy-areas/health/subjects lists the same 4 subjects (Health Policy General, Prescription Drug Pricing, Health Care Price Transparency, Medicaid) the Policy Area page's subject chips would show. A transient GET /api/health degraded/database-unreachable response was observed once during the backfill call (SQLite lock contention while the pipeline held a write transaction) and resolved on its own within a minute -- not a defect, worth knowing about if a health check ever fires mid-refresh. This is the Gantt's literal Verify-done check, done: the subject page's real API returns real, non-hardcoded data, and the Overview grid's counts match what a direct query against the live database now holds. Task 10 Done -- all 10 tasks in the build plan are now Done.</t>
        </is>
      </c>
      <c r="M17" s="44" t="inlineStr">
        <is>
          <t>Spec §7 Frontend Implementation Approach + §6 (swap each screen's hardcoded JS array for a fetch() call to its matching endpoint).</t>
        </is>
      </c>
      <c r="N17" s="46" t="inlineStr">
        <is>
          <t>Open the live hosted site; confirm the Medicaid subject page pulls from the real API (Network tab shows a fetch to /api/subjects/medicaid, not a hardcoded array) and the Overview grid's counts match a direct query against the database.</t>
        </is>
      </c>
    </row>
    <row r="20" ht="15" customHeight="1" s="32">
      <c r="A20" s="35" t="inlineStr">
        <is>
          <t>Phase legend:</t>
        </is>
      </c>
      <c r="B20" s="51" t="inlineStr">
        <is>
          <t>Foundation</t>
        </is>
      </c>
      <c r="C20" s="52" t="inlineStr">
        <is>
          <t>Data pipeline</t>
        </is>
      </c>
      <c r="D20" s="53" t="inlineStr">
        <is>
          <t>Backend/Frontend</t>
        </is>
      </c>
      <c r="E20" s="54" t="inlineStr">
        <is>
          <t>Launch</t>
        </is>
      </c>
    </row>
    <row r="23" ht="15" customHeight="1" s="32">
      <c r="A23" s="35" t="inlineStr">
        <is>
          <t>Session log — append one row per session, don't overwrite prior rows</t>
        </is>
      </c>
    </row>
    <row r="24" ht="15" customHeight="1" s="32">
      <c r="A24" s="55" t="inlineStr">
        <is>
          <t>Date</t>
        </is>
      </c>
      <c r="B24" s="55" t="inlineStr">
        <is>
          <t>What changed</t>
        </is>
      </c>
      <c r="C24" s="55" t="inlineStr">
        <is>
          <t>Task status changes</t>
        </is>
      </c>
    </row>
    <row r="25" ht="39.75" customHeight="1" s="32">
      <c r="A25" s="44" t="inlineStr">
        <is>
          <t>2026-09-19</t>
        </is>
      </c>
      <c r="B25" s="44" t="inlineStr">
        <is>
          <t>Rebuilt this Task Plan's 10 rows to match policy-docket-design-spec.docx §8 Build Plan (previously based on the outdated “Docket Build Map” artifact, which used a different task split and dependency set). Added the Design reference and Verify done columns.</t>
        </is>
      </c>
      <c r="C25" s="44" t="inlineStr">
        <is>
          <t>No task status changed by this rebuild. Task 1 remains In progress (unchanged from prior session).</t>
        </is>
      </c>
    </row>
    <row r="26" ht="15" customHeight="1" s="32">
      <c r="A26" s="31" t="inlineStr">
        <is>
          <t>2026-09-19</t>
        </is>
      </c>
      <c r="B26" s="31" t="inlineStr">
        <is>
          <t>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is>
      </c>
      <c r="C26" s="31" t="inlineStr">
        <is>
          <t>Task 1 (Design &amp; migrate schema): In progress -&gt; Done.</t>
        </is>
      </c>
    </row>
    <row r="27" ht="15" customHeight="1" s="32">
      <c r="A27" s="31" t="inlineStr">
        <is>
          <t>2026-09-19</t>
        </is>
      </c>
      <c r="B27" s="31" t="inlineStr">
        <is>
          <t>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is>
      </c>
      <c r="C27" s="31" t="inlineStr">
        <is>
          <t>Task 2 (Verify Legistar API access): Not started -&gt; Done (with one caveat noted in Notes).</t>
        </is>
      </c>
    </row>
    <row r="28" ht="15" customHeight="1" s="32">
      <c r="A28" s="31" t="inlineStr">
        <is>
          <t>2026-09-19</t>
        </is>
      </c>
      <c r="B28" s="31" t="inlineStr">
        <is>
          <t>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is>
      </c>
      <c r="C28" s="31" t="inlineStr">
        <is>
          <t>No task status changed. Task 3 remains Not started — recon only, real fix needs Jack's own terminal.</t>
        </is>
      </c>
    </row>
    <row r="29" ht="15" customHeight="1" s="32">
      <c r="A29" s="31" t="inlineStr">
        <is>
          <t>2026-09-19</t>
        </is>
      </c>
      <c r="B29" s="31" t="inlineStr">
        <is>
          <t>Task 3 verified: Jack ran scrapers/nelis.py himself from his own terminal (the only environment able to reach leg.state.nv.us this session) and got 7 real meetings back, not an empty list. Selectors work as-is — no code changes needed.</t>
        </is>
      </c>
      <c r="C29" s="31" t="inlineStr">
        <is>
          <t>Task 3 (Harden NELIS scraper selectors): Not started -&gt; Done.</t>
        </is>
      </c>
    </row>
    <row r="30" ht="15" customHeight="1" s="32">
      <c r="A30" s="31" t="inlineStr">
        <is>
          <t>2026-09-19</t>
        </is>
      </c>
      <c r="B30" s="31" t="inlineStr">
        <is>
          <t>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is>
      </c>
      <c r="C30" s="31" t="inlineStr">
        <is>
          <t>Task 4 (Provision hosting): Not started -&gt; In progress (account created; service/DB creation deferred to Task 5).</t>
        </is>
      </c>
    </row>
    <row r="31" ht="15" customHeight="1" s="32">
      <c r="A31" s="31" t="inlineStr">
        <is>
          <t>2026-09-19</t>
        </is>
      </c>
      <c r="B31" s="31" t="inlineStr">
        <is>
          <t>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is>
      </c>
      <c r="C31" s="31" t="inlineStr">
        <is>
          <t>Task 5 (Backend API): Not started -&gt; Done.</t>
        </is>
      </c>
    </row>
    <row r="32" ht="15" customHeight="1" s="32">
      <c r="A32" s="31" t="inlineStr">
        <is>
          <t>2026-09-19</t>
        </is>
      </c>
      <c r="B32" s="31" t="inlineStr">
        <is>
          <t>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is>
      </c>
      <c r="C32" s="31" t="inlineStr">
        <is>
          <t>Task 4 (Provision hosting): In progress, plan corrected from Postgres to SQLite+disk. Not yet Done — waiting on Jack to create the Blueprint in the Render dashboard.</t>
        </is>
      </c>
    </row>
    <row r="33" ht="15" customHeight="1" s="32">
      <c r="A33" s="31" t="inlineStr">
        <is>
          <t>2026-09-19</t>
        </is>
      </c>
      <c r="B33" s="31" t="inlineStr">
        <is>
          <t>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is>
      </c>
      <c r="C33" s="31" t="inlineStr">
        <is>
          <t>Task 4 (Provision hosting): In progress -&gt; Done.</t>
        </is>
      </c>
    </row>
    <row r="34" ht="15" customHeight="1" s="32">
      <c r="A34" s="31" t="inlineStr">
        <is>
          <t>2026-09-19</t>
        </is>
      </c>
      <c r="B34" s="31" t="inlineStr">
        <is>
          <t>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is>
      </c>
      <c r="C34" s="31" t="inlineStr">
        <is>
          <t>Task 6 (Document capture pipeline): Not started -&gt; In progress.</t>
        </is>
      </c>
    </row>
    <row r="35" ht="15" customHeight="1" s="32">
      <c r="A35" s="31" t="inlineStr">
        <is>
          <t>2026-09-19</t>
        </is>
      </c>
      <c r="B35" s="31" t="inlineStr">
        <is>
          <t>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is>
      </c>
      <c r="C35" s="31" t="inlineStr">
        <is>
          <t>Task 6 (Document capture pipeline): In progress -&gt; Done.</t>
        </is>
      </c>
    </row>
    <row r="36" ht="15" customHeight="1" s="32">
      <c r="A36" s="31" t="inlineStr">
        <is>
          <t>2026-09-19</t>
        </is>
      </c>
      <c r="B36" s="31" t="inlineStr">
        <is>
          <t>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is>
      </c>
      <c r="C36" s="31" t="inlineStr">
        <is>
          <t>Task 7 (Extraction pipeline): Not started -&gt; Done.</t>
        </is>
      </c>
    </row>
    <row r="37" ht="15" customHeight="1" s="32">
      <c r="A37" s="31" t="inlineStr">
        <is>
          <t>2026-09-19</t>
        </is>
      </c>
      <c r="B37" s="31" t="inlineStr">
        <is>
          <t>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is>
      </c>
      <c r="C37" s="31" t="inlineStr">
        <is>
          <t>Task 8 (Subject tagging): Not started -&gt; In progress.</t>
        </is>
      </c>
    </row>
    <row r="38" ht="15" customHeight="1" s="32">
      <c r="A38" s="31" t="inlineStr">
        <is>
          <t>2026-09-20</t>
        </is>
      </c>
      <c r="B38" s="31" t="inlineStr">
        <is>
          <t>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is>
      </c>
      <c r="C38" s="31" t="inlineStr">
        <is>
          <t>Task 8 (Subject tagging): In progress -&gt; Done.</t>
        </is>
      </c>
    </row>
    <row r="39" ht="15" customHeight="1" s="32">
      <c r="A39" s="31" t="inlineStr">
        <is>
          <t>2026-09-20</t>
        </is>
      </c>
      <c r="B39" s="31" t="inlineStr">
        <is>
          <t>Task 9: wrote pipeline/generate_briefings.py per spec §5's Generate-briefings stage, replacing the prototype's title-only scripts/generate_briefing.py. Grounds every note in real extracted_text (Task 7) plus the meeting's real subject tags (Task 8) instead of just the meeting title, and records model_version -- closing a gap the schema's own comment flagged as real, not cosmetic. Confidence now self-assesses whether the underlying captured text is actually meeting-specific or a generic listing page (accounting for Task 6's SNHD/Senate-HELP finding). Verified locally with a mocked Anthropic client across 5 scenarios -- all passed. Testing surfaced a real finding: 3 briefings rows migrated from the old prototype are stale (model_version=NULL) and won't be touched without --force. Committed and pushed. Not marked Done yet -- needs Jack to run it for real with ANTHROPIC_API_KEY set (--force, to also upgrade the 3 stale rows), same pattern as Task 8.</t>
        </is>
      </c>
      <c r="C39" s="31" t="inlineStr">
        <is>
          <t>Task 9 (Briefing generation upgrade): Not started -&gt; In progress.</t>
        </is>
      </c>
    </row>
    <row r="40" ht="15" customHeight="1" s="32">
      <c r="A40" s="31" t="inlineStr">
        <is>
          <t>2026-09-20</t>
        </is>
      </c>
      <c r="B40" s="31" t="inlineStr">
        <is>
          <t>Task 9: Jack ran pipeline/generate_briefings.py --force for real. Result exposed a real bug: 21 of 24 eligible meetings were marked not-relevant, most citing the captured document being a generic listing page as the reason -- including nv-jisc-hhs-2026-08-11, which the OLD title-only prototype had correctly flagged as relevant. The new prompt let text-genericness (which should only affect confidence) leak into the relevance judgment, silently losing real coverage. Fixed by rewriting the prompt to make relevance and confidence two explicit, independent judgments -- relevance from meeting topic alone, confidence from text specificity. Verified the fix locally with a mocked client. Committed. Not marked Done -- needs Jack to re-run --force with the fixed prompt before Verify-done can be confirmed against real, correct output.</t>
        </is>
      </c>
      <c r="C40" s="31" t="inlineStr">
        <is>
          <t>Task 9 (Briefing generation upgrade): still In progress -- real run found a bug, fixed, awaiting re-run.</t>
        </is>
      </c>
    </row>
    <row r="41" ht="15" customHeight="1" s="32">
      <c r="A41" s="31" t="inlineStr">
        <is>
          <t>2026-09-20</t>
        </is>
      </c>
      <c r="B41" s="31" t="inlineStr">
        <is>
          <t>Task 9 re-verified after the fix: Jack re-ran pipeline/generate_briefings.py --force with the corrected prompt. 22 of 24 meetings now get a real briefing (up from 3 under the buggy version), 2 correctly skipped on genuine topic grounds. 20 unverified / 2 verified confidence split honestly reflects how much of the corpus is generic vs. real meeting-specific text (Task 6's finding). The previously-dropped nv-jisc-hhs-2026-08-11 is back with a sound reasoning. Every row has a real model_version, closing the NFR3 gap. Verify-done check passed. Task 9 marked Done. All of Tasks 1-9 are now complete; Task 10 (Frontend cutover to live API) is next -- the final task in the build plan.</t>
        </is>
      </c>
      <c r="C41" s="31" t="inlineStr">
        <is>
          <t>Task 9 (Briefing generation upgrade): In progress -&gt; Done.</t>
        </is>
      </c>
    </row>
    <row r="42">
      <c r="A42" s="31" t="inlineStr">
        <is>
          <t>2026-09-20</t>
        </is>
      </c>
      <c r="B42" s="31" t="inlineStr">
        <is>
          <t>Task 10 started and built end-to-end: discovered the existing templates/dashboard.html.j2 was a different, older prototype (pre-dates the Policy Area taxonomy) and the spec's real three-screen IA never existed as repo code, only as separate reference mockups -- so this was a real build, not an edit. Built templates/overview.html.j2, health.html.j2, subject.html.j2 + static/docket.css/docket.js per spec §3/§7, all fetching live from the JSON API (NFR4: no meeting data in templates). Added two small, necessary, additive API endpoints: GET /api/policy-areas/{slug}/subjects (closes a real FR7 navigation gap) and POST /api/admin/refresh (closes a real gap where GitHub Actions can no longer reach the live database directly once hosting moved off static JSON). Rewrote .github/workflows/weekly-refresh.yml to call the new endpoint instead of the old scrape/render/Pages-deploy pipeline. Retired templates/dashboard.html.j2, scripts/render_site.py, scripts/generate_briefing.py, site/index.html. Rewrote README.md for the new architecture. Tested everything locally against the real database and confirmed correct behavior (untracked-area empty state, 404s, admin-refresh auth + stage execution). Also surfaced a real operational finding: the live Render database was seeded before Tasks 8-9 ran, so it has no real subject tags or briefings yet, and a redeploy alone won't fix that (migrate.py only runs when the db file is missing). Committed, not yet pushed.</t>
        </is>
      </c>
      <c r="C42" s="31" t="inlineStr">
        <is>
          <t>Task 10 (Frontend cutover to live API): Not started -&gt; In progress.</t>
        </is>
      </c>
    </row>
    <row r="43">
      <c r="A43" t="inlineStr">
        <is>
          <t>2026-09-20</t>
        </is>
      </c>
      <c r="B43" t="inlineStr">
        <is>
          <t>Task 10 fully closed out. Jack pushed the commit, set ANTHROPIC_API_KEY + REFRESH_TOKEN on Render and the matching REFRESH_TOKEN on GitHub (regenerating the token himself after an accidental paste into chat, rather than reusing the exposed value), and ran the real backfill call against the live service from his own terminal: 25/26 documents captured, 25/25 extracted, 44 subject tags across 25 meetings, 16 briefings written (3 correctly skipped). Independently confirmed the live API directly (not through Jack): /api/subjects/medicaid returns the real House E&amp;C meeting, /api/policy-areas returns real non-zero flagged counts for exactly the areas the live run tagged (Health 21, Government Operations and Politics 11, Social Welfare 4, Crime and Law Enforcement 2, Commerce 1, Economics and Public Finance 1, Energy 1) and zero for every untouched area, and /api/policy-areas/health/subjects lists the real subject set. This is the literal Verify-done check for this task. Task 10 marked Done.</t>
        </is>
      </c>
      <c r="C43" t="inlineStr">
        <is>
          <t>Task 10 (Frontend cutover to live API): In progress -&gt; Done. All 10 tasks in the build plan are now Done.</t>
        </is>
      </c>
    </row>
  </sheetData>
  <mergeCells count="2">
    <mergeCell ref="A2:N2"/>
    <mergeCell ref="A1:N1"/>
  </mergeCells>
  <dataValidations count="1">
    <dataValidation sqref="D8:D17"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X19"/>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4" customWidth="1" style="31" min="1" max="1"/>
    <col width="30" customWidth="1" style="31" min="2" max="2"/>
    <col width="13" customWidth="1" style="31" min="3" max="3"/>
    <col width="3" customWidth="1" style="31" min="4" max="47"/>
  </cols>
  <sheetData>
    <row r="1" ht="17.25" customHeight="1" s="32">
      <c r="A1" s="33" t="inlineStr">
        <is>
          <t>Health Docket — Gantt (auto-updates from Task Plan)</t>
        </is>
      </c>
    </row>
    <row r="2" ht="15" customHeight="1" s="32">
      <c r="A2" s="34" t="inlineStr">
        <is>
          <t>Change dates/durations/status on the Task Plan tab — this chart redraws itself.</t>
        </is>
      </c>
    </row>
    <row r="4" ht="15" customHeight="1" s="32">
      <c r="A4" s="35" t="inlineStr">
        <is>
          <t>ID</t>
        </is>
      </c>
      <c r="B4" s="35" t="inlineStr">
        <is>
          <t>Task (status)</t>
        </is>
      </c>
      <c r="C4" s="35" t="inlineStr">
        <is>
          <t>Phase</t>
        </is>
      </c>
      <c r="D4" s="56" t="n">
        <v>0</v>
      </c>
      <c r="E4" s="56" t="n">
        <v>1</v>
      </c>
      <c r="F4" s="56" t="n">
        <v>2</v>
      </c>
      <c r="G4" s="56" t="n">
        <v>3</v>
      </c>
      <c r="H4" s="56" t="n">
        <v>4</v>
      </c>
      <c r="I4" s="56" t="n">
        <v>5</v>
      </c>
      <c r="J4" s="56" t="n">
        <v>6</v>
      </c>
      <c r="K4" s="56" t="n">
        <v>7</v>
      </c>
      <c r="L4" s="56" t="n">
        <v>8</v>
      </c>
      <c r="M4" s="56" t="n">
        <v>9</v>
      </c>
      <c r="N4" s="56" t="n">
        <v>10</v>
      </c>
      <c r="O4" s="56" t="n">
        <v>11</v>
      </c>
      <c r="P4" s="56" t="n">
        <v>12</v>
      </c>
      <c r="Q4" s="56" t="n">
        <v>13</v>
      </c>
      <c r="R4" s="56" t="n">
        <v>14</v>
      </c>
      <c r="S4" s="56" t="n">
        <v>15</v>
      </c>
      <c r="T4" s="56" t="n">
        <v>16</v>
      </c>
      <c r="U4" s="56" t="n">
        <v>17</v>
      </c>
      <c r="V4" s="56" t="n">
        <v>18</v>
      </c>
      <c r="W4" s="56" t="n">
        <v>19</v>
      </c>
      <c r="X4" s="56" t="n">
        <v>20</v>
      </c>
      <c r="Y4" s="56" t="n">
        <v>21</v>
      </c>
      <c r="Z4" s="56" t="n">
        <v>22</v>
      </c>
      <c r="AA4" s="56" t="n">
        <v>23</v>
      </c>
      <c r="AB4" s="56" t="n">
        <v>24</v>
      </c>
      <c r="AC4" s="56" t="n">
        <v>25</v>
      </c>
      <c r="AD4" s="56" t="n">
        <v>26</v>
      </c>
      <c r="AE4" s="56" t="n">
        <v>27</v>
      </c>
      <c r="AF4" s="56" t="n">
        <v>28</v>
      </c>
      <c r="AG4" s="56" t="n">
        <v>29</v>
      </c>
      <c r="AH4" s="56" t="n">
        <v>30</v>
      </c>
      <c r="AI4" s="56" t="n">
        <v>31</v>
      </c>
      <c r="AJ4" s="56" t="n">
        <v>32</v>
      </c>
      <c r="AK4" s="56" t="n">
        <v>33</v>
      </c>
      <c r="AL4" s="56" t="n">
        <v>34</v>
      </c>
      <c r="AM4" s="56" t="n">
        <v>35</v>
      </c>
      <c r="AN4" s="56" t="n">
        <v>36</v>
      </c>
      <c r="AO4" s="56" t="n">
        <v>37</v>
      </c>
      <c r="AP4" s="56" t="n">
        <v>38</v>
      </c>
      <c r="AQ4" s="56" t="n">
        <v>39</v>
      </c>
      <c r="AR4" s="56" t="n">
        <v>40</v>
      </c>
      <c r="AS4" s="56" t="n">
        <v>41</v>
      </c>
      <c r="AT4" s="56" t="n">
        <v>42</v>
      </c>
      <c r="AU4" s="56" t="n">
        <v>43</v>
      </c>
      <c r="AW4" s="57" t="inlineStr">
        <is>
          <t>StartOff</t>
        </is>
      </c>
      <c r="AX4" s="57" t="inlineStr">
        <is>
          <t>EndOff</t>
        </is>
      </c>
    </row>
    <row r="5" ht="33.75" customHeight="1" s="32">
      <c r="D5" s="58">
        <f>'Task Plan'!$B$4+0</f>
        <v/>
      </c>
      <c r="E5" s="58">
        <f>'Task Plan'!$B$4+1</f>
        <v/>
      </c>
      <c r="F5" s="58">
        <f>'Task Plan'!$B$4+2</f>
        <v/>
      </c>
      <c r="G5" s="58">
        <f>'Task Plan'!$B$4+3</f>
        <v/>
      </c>
      <c r="H5" s="58">
        <f>'Task Plan'!$B$4+4</f>
        <v/>
      </c>
      <c r="I5" s="58">
        <f>'Task Plan'!$B$4+5</f>
        <v/>
      </c>
      <c r="J5" s="58">
        <f>'Task Plan'!$B$4+6</f>
        <v/>
      </c>
      <c r="K5" s="58">
        <f>'Task Plan'!$B$4+7</f>
        <v/>
      </c>
      <c r="L5" s="58">
        <f>'Task Plan'!$B$4+8</f>
        <v/>
      </c>
      <c r="M5" s="58">
        <f>'Task Plan'!$B$4+9</f>
        <v/>
      </c>
      <c r="N5" s="58">
        <f>'Task Plan'!$B$4+10</f>
        <v/>
      </c>
      <c r="O5" s="58">
        <f>'Task Plan'!$B$4+11</f>
        <v/>
      </c>
      <c r="P5" s="58">
        <f>'Task Plan'!$B$4+12</f>
        <v/>
      </c>
      <c r="Q5" s="58">
        <f>'Task Plan'!$B$4+13</f>
        <v/>
      </c>
      <c r="R5" s="58">
        <f>'Task Plan'!$B$4+14</f>
        <v/>
      </c>
      <c r="S5" s="58">
        <f>'Task Plan'!$B$4+15</f>
        <v/>
      </c>
      <c r="T5" s="58">
        <f>'Task Plan'!$B$4+16</f>
        <v/>
      </c>
      <c r="U5" s="58">
        <f>'Task Plan'!$B$4+17</f>
        <v/>
      </c>
      <c r="V5" s="58">
        <f>'Task Plan'!$B$4+18</f>
        <v/>
      </c>
      <c r="W5" s="58">
        <f>'Task Plan'!$B$4+19</f>
        <v/>
      </c>
      <c r="X5" s="58">
        <f>'Task Plan'!$B$4+20</f>
        <v/>
      </c>
      <c r="Y5" s="58">
        <f>'Task Plan'!$B$4+21</f>
        <v/>
      </c>
      <c r="Z5" s="58">
        <f>'Task Plan'!$B$4+22</f>
        <v/>
      </c>
      <c r="AA5" s="58">
        <f>'Task Plan'!$B$4+23</f>
        <v/>
      </c>
      <c r="AB5" s="58">
        <f>'Task Plan'!$B$4+24</f>
        <v/>
      </c>
      <c r="AC5" s="58">
        <f>'Task Plan'!$B$4+25</f>
        <v/>
      </c>
      <c r="AD5" s="58">
        <f>'Task Plan'!$B$4+26</f>
        <v/>
      </c>
      <c r="AE5" s="58">
        <f>'Task Plan'!$B$4+27</f>
        <v/>
      </c>
      <c r="AF5" s="58">
        <f>'Task Plan'!$B$4+28</f>
        <v/>
      </c>
      <c r="AG5" s="58">
        <f>'Task Plan'!$B$4+29</f>
        <v/>
      </c>
      <c r="AH5" s="58">
        <f>'Task Plan'!$B$4+30</f>
        <v/>
      </c>
      <c r="AI5" s="58">
        <f>'Task Plan'!$B$4+31</f>
        <v/>
      </c>
      <c r="AJ5" s="58">
        <f>'Task Plan'!$B$4+32</f>
        <v/>
      </c>
      <c r="AK5" s="58">
        <f>'Task Plan'!$B$4+33</f>
        <v/>
      </c>
      <c r="AL5" s="58">
        <f>'Task Plan'!$B$4+34</f>
        <v/>
      </c>
      <c r="AM5" s="58">
        <f>'Task Plan'!$B$4+35</f>
        <v/>
      </c>
      <c r="AN5" s="58">
        <f>'Task Plan'!$B$4+36</f>
        <v/>
      </c>
      <c r="AO5" s="58">
        <f>'Task Plan'!$B$4+37</f>
        <v/>
      </c>
      <c r="AP5" s="58">
        <f>'Task Plan'!$B$4+38</f>
        <v/>
      </c>
      <c r="AQ5" s="58">
        <f>'Task Plan'!$B$4+39</f>
        <v/>
      </c>
      <c r="AR5" s="58">
        <f>'Task Plan'!$B$4+40</f>
        <v/>
      </c>
      <c r="AS5" s="58">
        <f>'Task Plan'!$B$4+41</f>
        <v/>
      </c>
      <c r="AT5" s="58">
        <f>'Task Plan'!$B$4+42</f>
        <v/>
      </c>
      <c r="AU5" s="58">
        <f>'Task Plan'!$B$4+43</f>
        <v/>
      </c>
    </row>
    <row r="7" ht="15" customHeight="1" s="32">
      <c r="A7" s="39">
        <f>'Task Plan'!A8</f>
        <v/>
      </c>
      <c r="B7" s="59">
        <f>'Task Plan'!B8&amp;" ["&amp;'Task Plan'!D8&amp;"]"</f>
        <v/>
      </c>
      <c r="C7" s="60">
        <f>'Task Plan'!C8</f>
        <v/>
      </c>
      <c r="AW7" s="61">
        <f>'Task Plan'!G8</f>
        <v/>
      </c>
      <c r="AX7" s="61">
        <f>'Task Plan'!H8</f>
        <v/>
      </c>
    </row>
    <row r="8" ht="15" customHeight="1" s="32">
      <c r="A8" s="39">
        <f>'Task Plan'!A9</f>
        <v/>
      </c>
      <c r="B8" s="59">
        <f>'Task Plan'!B9&amp;" ["&amp;'Task Plan'!D9&amp;"]"</f>
        <v/>
      </c>
      <c r="C8" s="60">
        <f>'Task Plan'!C9</f>
        <v/>
      </c>
      <c r="AW8" s="61">
        <f>'Task Plan'!G9</f>
        <v/>
      </c>
      <c r="AX8" s="61">
        <f>'Task Plan'!H9</f>
        <v/>
      </c>
    </row>
    <row r="9" ht="15" customHeight="1" s="32">
      <c r="A9" s="39">
        <f>'Task Plan'!A10</f>
        <v/>
      </c>
      <c r="B9" s="59">
        <f>'Task Plan'!B10&amp;" ["&amp;'Task Plan'!D10&amp;"]"</f>
        <v/>
      </c>
      <c r="C9" s="60">
        <f>'Task Plan'!C10</f>
        <v/>
      </c>
      <c r="AW9" s="61">
        <f>'Task Plan'!G10</f>
        <v/>
      </c>
      <c r="AX9" s="61">
        <f>'Task Plan'!H10</f>
        <v/>
      </c>
    </row>
    <row r="10" ht="15" customHeight="1" s="32">
      <c r="A10" s="39">
        <f>'Task Plan'!A11</f>
        <v/>
      </c>
      <c r="B10" s="59">
        <f>'Task Plan'!B11&amp;" ["&amp;'Task Plan'!D11&amp;"]"</f>
        <v/>
      </c>
      <c r="C10" s="60">
        <f>'Task Plan'!C11</f>
        <v/>
      </c>
      <c r="AW10" s="61">
        <f>'Task Plan'!G11</f>
        <v/>
      </c>
      <c r="AX10" s="61">
        <f>'Task Plan'!H11</f>
        <v/>
      </c>
    </row>
    <row r="11" ht="15" customHeight="1" s="32">
      <c r="A11" s="39">
        <f>'Task Plan'!A12</f>
        <v/>
      </c>
      <c r="B11" s="59">
        <f>'Task Plan'!B12&amp;" ["&amp;'Task Plan'!D12&amp;"]"</f>
        <v/>
      </c>
      <c r="C11" s="60">
        <f>'Task Plan'!C12</f>
        <v/>
      </c>
      <c r="AW11" s="61">
        <f>'Task Plan'!G12</f>
        <v/>
      </c>
      <c r="AX11" s="61">
        <f>'Task Plan'!H12</f>
        <v/>
      </c>
    </row>
    <row r="12" ht="15" customHeight="1" s="32">
      <c r="A12" s="39">
        <f>'Task Plan'!A13</f>
        <v/>
      </c>
      <c r="B12" s="59">
        <f>'Task Plan'!B13&amp;" ["&amp;'Task Plan'!D13&amp;"]"</f>
        <v/>
      </c>
      <c r="C12" s="60">
        <f>'Task Plan'!C13</f>
        <v/>
      </c>
      <c r="AW12" s="61">
        <f>'Task Plan'!G13</f>
        <v/>
      </c>
      <c r="AX12" s="61">
        <f>'Task Plan'!H13</f>
        <v/>
      </c>
    </row>
    <row r="13" ht="15" customHeight="1" s="32">
      <c r="A13" s="39">
        <f>'Task Plan'!A14</f>
        <v/>
      </c>
      <c r="B13" s="59">
        <f>'Task Plan'!B14&amp;" ["&amp;'Task Plan'!D14&amp;"]"</f>
        <v/>
      </c>
      <c r="C13" s="60">
        <f>'Task Plan'!C14</f>
        <v/>
      </c>
      <c r="AW13" s="61">
        <f>'Task Plan'!G14</f>
        <v/>
      </c>
      <c r="AX13" s="61">
        <f>'Task Plan'!H14</f>
        <v/>
      </c>
    </row>
    <row r="14" ht="15" customHeight="1" s="32">
      <c r="A14" s="39">
        <f>'Task Plan'!A15</f>
        <v/>
      </c>
      <c r="B14" s="59">
        <f>'Task Plan'!B15&amp;" ["&amp;'Task Plan'!D15&amp;"]"</f>
        <v/>
      </c>
      <c r="C14" s="60">
        <f>'Task Plan'!C15</f>
        <v/>
      </c>
      <c r="AW14" s="61">
        <f>'Task Plan'!G15</f>
        <v/>
      </c>
      <c r="AX14" s="61">
        <f>'Task Plan'!H15</f>
        <v/>
      </c>
    </row>
    <row r="15" ht="15" customHeight="1" s="32">
      <c r="A15" s="39">
        <f>'Task Plan'!A16</f>
        <v/>
      </c>
      <c r="B15" s="59">
        <f>'Task Plan'!B16&amp;" ["&amp;'Task Plan'!D16&amp;"]"</f>
        <v/>
      </c>
      <c r="C15" s="60">
        <f>'Task Plan'!C16</f>
        <v/>
      </c>
      <c r="AW15" s="61">
        <f>'Task Plan'!G16</f>
        <v/>
      </c>
      <c r="AX15" s="61">
        <f>'Task Plan'!H16</f>
        <v/>
      </c>
    </row>
    <row r="16" ht="15" customHeight="1" s="32">
      <c r="A16" s="39">
        <f>'Task Plan'!A17</f>
        <v/>
      </c>
      <c r="B16" s="59">
        <f>'Task Plan'!B17&amp;" ["&amp;'Task Plan'!D17&amp;"]"</f>
        <v/>
      </c>
      <c r="C16" s="60">
        <f>'Task Plan'!C17</f>
        <v/>
      </c>
      <c r="AW16" s="61">
        <f>'Task Plan'!G17</f>
        <v/>
      </c>
      <c r="AX16" s="61">
        <f>'Task Plan'!H17</f>
        <v/>
      </c>
    </row>
    <row r="19" ht="15" customHeight="1" s="32">
      <c r="A19" s="35" t="inlineStr">
        <is>
          <t>Phase legend:</t>
        </is>
      </c>
      <c r="B19" s="51" t="inlineStr">
        <is>
          <t>Foundation</t>
        </is>
      </c>
      <c r="C19" s="52" t="inlineStr">
        <is>
          <t>Data pipeline</t>
        </is>
      </c>
      <c r="D19" s="53" t="inlineStr">
        <is>
          <t>Backend/Frontend</t>
        </is>
      </c>
      <c r="E19" s="54" t="inlineStr">
        <is>
          <t>Launch</t>
        </is>
      </c>
    </row>
  </sheetData>
  <mergeCells count="2">
    <mergeCell ref="A2:H2"/>
    <mergeCell ref="A1:H1"/>
  </mergeCells>
  <conditionalFormatting sqref="D7:AU16">
    <cfRule type="expression" rank="0" priority="2" equalAverage="0" aboveAverage="0" dxfId="0" text="" percent="0" bottom="0">
      <formula>AND(D$4&gt;=$AW7,D$4&lt;=$AX7,$C7="Foundation")</formula>
    </cfRule>
    <cfRule type="expression" rank="0" priority="3" equalAverage="0" aboveAverage="0" dxfId="1" text="" percent="0" bottom="0">
      <formula>AND(D$4&gt;=$AW7,D$4&lt;=$AX7,$C7="Data pipeline")</formula>
    </cfRule>
    <cfRule type="expression" rank="0" priority="4" equalAverage="0" aboveAverage="0" dxfId="2" text="" percent="0" bottom="0">
      <formula>AND(D$4&gt;=$AW7,D$4&lt;=$AX7,$C7="Backend/Frontend")</formula>
    </cfRule>
    <cfRule type="expression" rank="0" priority="5" equalAverage="0" aboveAverage="0" dxfId="3" text="" percent="0" bottom="0">
      <formula>AND(D$4&gt;=$AW7,D$4&lt;=$AX7,$C7="Launch")</formula>
    </cfRule>
  </conditionalFormatting>
  <conditionalFormatting sqref="D5:AU5">
    <cfRule type="expression" rank="0" priority="6" equalAverage="0" aboveAverage="0" dxfId="4" text="" percent="0" bottom="0">
      <formula>D5=TODAY()</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2026-09-19T19:45:01Z</dcterms:created>
  <dcterms:modified xmlns:dcterms="http://purl.org/dc/terms/" xmlns:xsi="http://www.w3.org/2001/XMLSchema-instance" xsi:type="dcterms:W3CDTF">2026-09-20T16:54:43Z</dcterms:modified>
  <cp:revision>0</cp:revision>
</cp:coreProperties>
</file>