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<sst xmlns="http://schemas.openxmlformats.org/spreadsheetml/2006/main" count="132" uniqueCount="101">
  <si>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</si>
  <si>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</si>
  <si>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</si>
  <si>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</si>
  <si>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</si>
  <si>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</si>
  <si>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</si>
  <si>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</si>
  <si>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</si>
  <si>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</si>
  <si>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</si>
  <si>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</si>
  <si>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</si>
  <si>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</si>
  <si>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</si>
  <si>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</si>
  <si>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</si>
  <si>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</si>
  <si>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</si>
  <si>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</si>
  <si>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</si>
  <si>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</si>
  <si>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</si>
  <si>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</si>
  <si>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</si>
  <si>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</si>
  <si>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</si>
  <si>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</si>
  <si>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</si>
  <si>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</si>
  <si>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</si>
  <si>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</si>
  <si>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</si>
  <si>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Not started</t>
  </si>
  <si>
    <t xml:space="preserve">scrapers/nelis.py</t>
  </si>
  <si>
    <t xml:space="preserve">Recon done 2026-09-19 (task itself not started — needs Jack's go-ahead first, per STATUS.md step 5). Confirmed: this page renders meetings via JavaScript, so a plain fetch returns zero meeting rows, just menu chrome — exactly as this module's own docstring warned. Playwright+Chromium work fine in Claude's cloud workspace, but leg.state.nv.us itself is blocked there by network policy (same as legistar.com in Task 2). Playwright isn't even installed in the sandboxed shell on Jack's Mac, and that site is blocked there too. Neither sandbox available this session can reach this site at all — worse than Task 2, where at least the plain HTML page was reachable. The only way to actually verify or fix the selectors is from Jack's own real terminal (unrestricted network). Ready-to-run command is in pm/STATUS.md Current task section.</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</si>
  <si>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</si>
  <si>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</si>
  <si>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</si>
  <si>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</si>
  <si>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The one task where Jack creates the account/billing — not something Claude can do.</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</si>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</sst>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33</v>
      </c>
      <c r="E10" s="8" t="s">
        <v>22</v>
      </c>
      <c r="F10" s="11" t="n">
        <v>4</v>
      </c>
      <c r="G10" s="11" t="n">
        <v>0</v>
      </c>
      <c r="H10" s="8" t="n">
        <f aca="false">G10+F10-1</f>
        <v>3</v>
      </c>
      <c r="I10" s="12" t="n">
        <f aca="false">$B$4+G10</f>
        <v>46287</v>
      </c>
      <c r="J10" s="12" t="n">
        <f aca="false">$B$4+H10</f>
        <v>46290</v>
      </c>
      <c r="K10" s="13" t="s">
        <v>34</v>
      </c>
      <c r="L10" s="14" t="s">
        <v>35</v>
      </c>
      <c r="M10" s="13" t="s">
        <v>36</v>
      </c>
      <c r="N10" s="15" t="s">
        <v>37</v>
      </c>
    </row>
    <row r="11" customFormat="false" ht="31.5" hidden="false" customHeight="true" outlineLevel="0" collapsed="false">
      <c r="A11" s="8" t="n">
        <v>4</v>
      </c>
      <c r="B11" s="8" t="s">
        <v>38</v>
      </c>
      <c r="C11" s="9" t="s">
        <v>20</v>
      </c>
      <c r="D11" s="16" t="s">
        <v>33</v>
      </c>
      <c r="E11" s="8" t="s">
        <v>22</v>
      </c>
      <c r="F11" s="11" t="n">
        <v>4</v>
      </c>
      <c r="G11" s="11" t="n">
        <v>3</v>
      </c>
      <c r="H11" s="8" t="n">
        <f aca="false">G11+F11-1</f>
        <v>6</v>
      </c>
      <c r="I11" s="12" t="n">
        <f aca="false">$B$4+G11</f>
        <v>46290</v>
      </c>
      <c r="J11" s="12" t="n">
        <f aca="false">$B$4+H11</f>
        <v>46293</v>
      </c>
      <c r="K11" s="13" t="s">
        <v>39</v>
      </c>
      <c r="L11" s="14" t="s">
        <v>40</v>
      </c>
      <c r="M11" s="13" t="s">
        <v>41</v>
      </c>
      <c r="N11" s="15" t="s">
        <v>42</v>
      </c>
    </row>
    <row r="12" customFormat="false" ht="31.5" hidden="false" customHeight="true" outlineLevel="0" collapsed="false">
      <c r="A12" s="8" t="n">
        <v>5</v>
      </c>
      <c r="B12" s="8" t="s">
        <v>43</v>
      </c>
      <c r="C12" s="17" t="s">
        <v>44</v>
      </c>
      <c r="D12" s="16" t="s">
        <v>33</v>
      </c>
      <c r="E12" s="8" t="s">
        <v>45</v>
      </c>
      <c r="F12" s="11" t="n">
        <v>10</v>
      </c>
      <c r="G12" s="8" t="n">
        <f aca="false">$H$8+1</f>
        <v>7</v>
      </c>
      <c r="H12" s="8" t="n">
        <f aca="false">G12+F12-1</f>
        <v>16</v>
      </c>
      <c r="I12" s="12" t="n">
        <f aca="false">$B$4+G12</f>
        <v>46294</v>
      </c>
      <c r="J12" s="12" t="n">
        <f aca="false">$B$4+H12</f>
        <v>46303</v>
      </c>
      <c r="K12" s="13" t="s">
        <v>46</v>
      </c>
      <c r="L12" s="14" t="s">
        <v>47</v>
      </c>
      <c r="M12" s="13" t="s">
        <v>48</v>
      </c>
      <c r="N12" s="15" t="s">
        <v>49</v>
      </c>
    </row>
    <row r="13" customFormat="false" ht="31.5" hidden="false" customHeight="true" outlineLevel="0" collapsed="false">
      <c r="A13" s="8" t="n">
        <v>6</v>
      </c>
      <c r="B13" s="8" t="s">
        <v>50</v>
      </c>
      <c r="C13" s="18" t="s">
        <v>51</v>
      </c>
      <c r="D13" s="16" t="s">
        <v>33</v>
      </c>
      <c r="E13" s="8" t="s">
        <v>52</v>
      </c>
      <c r="F13" s="11" t="n">
        <v>10</v>
      </c>
      <c r="G13" s="8" t="n">
        <f aca="false">MAX($H$8,$H$9,$H$10)+1</f>
        <v>7</v>
      </c>
      <c r="H13" s="8" t="n">
        <f aca="false">G13+F13-1</f>
        <v>16</v>
      </c>
      <c r="I13" s="12" t="n">
        <f aca="false">$B$4+G13</f>
        <v>46294</v>
      </c>
      <c r="J13" s="12" t="n">
        <f aca="false">$B$4+H13</f>
        <v>46303</v>
      </c>
      <c r="K13" s="13" t="s">
        <v>53</v>
      </c>
      <c r="L13" s="14" t="s">
        <v>54</v>
      </c>
      <c r="M13" s="13" t="s">
        <v>55</v>
      </c>
      <c r="N13" s="15" t="s">
        <v>56</v>
      </c>
    </row>
    <row r="14" customFormat="false" ht="31.5" hidden="false" customHeight="true" outlineLevel="0" collapsed="false">
      <c r="A14" s="8" t="n">
        <v>7</v>
      </c>
      <c r="B14" s="8" t="s">
        <v>57</v>
      </c>
      <c r="C14" s="18" t="s">
        <v>51</v>
      </c>
      <c r="D14" s="16" t="s">
        <v>33</v>
      </c>
      <c r="E14" s="8" t="s">
        <v>58</v>
      </c>
      <c r="F14" s="11" t="n">
        <v>7</v>
      </c>
      <c r="G14" s="8" t="n">
        <f aca="false">$H$13+1</f>
        <v>17</v>
      </c>
      <c r="H14" s="8" t="n">
        <f aca="false">G14+F14-1</f>
        <v>23</v>
      </c>
      <c r="I14" s="12" t="n">
        <f aca="false">$B$4+G14</f>
        <v>46304</v>
      </c>
      <c r="J14" s="12" t="n">
        <f aca="false">$B$4+H14</f>
        <v>46310</v>
      </c>
      <c r="K14" s="13" t="s">
        <v>59</v>
      </c>
      <c r="L14" s="14" t="s">
        <v>60</v>
      </c>
      <c r="M14" s="13" t="s">
        <v>61</v>
      </c>
      <c r="N14" s="15" t="s">
        <v>62</v>
      </c>
    </row>
    <row r="15" customFormat="false" ht="31.5" hidden="false" customHeight="true" outlineLevel="0" collapsed="false">
      <c r="A15" s="8" t="n">
        <v>8</v>
      </c>
      <c r="B15" s="8" t="s">
        <v>63</v>
      </c>
      <c r="C15" s="18" t="s">
        <v>51</v>
      </c>
      <c r="D15" s="16" t="s">
        <v>33</v>
      </c>
      <c r="E15" s="8" t="s">
        <v>64</v>
      </c>
      <c r="F15" s="11" t="n">
        <v>7</v>
      </c>
      <c r="G15" s="8" t="n">
        <f aca="false">$H$14+1</f>
        <v>24</v>
      </c>
      <c r="H15" s="8" t="n">
        <f aca="false">G15+F15-1</f>
        <v>30</v>
      </c>
      <c r="I15" s="12" t="n">
        <f aca="false">$B$4+G15</f>
        <v>46311</v>
      </c>
      <c r="J15" s="12" t="n">
        <f aca="false">$B$4+H15</f>
        <v>46317</v>
      </c>
      <c r="K15" s="13" t="s">
        <v>65</v>
      </c>
      <c r="L15" s="14" t="s">
        <v>66</v>
      </c>
      <c r="M15" s="13" t="s">
        <v>67</v>
      </c>
      <c r="N15" s="15" t="s">
        <v>68</v>
      </c>
    </row>
    <row r="16" customFormat="false" ht="31.5" hidden="false" customHeight="true" outlineLevel="0" collapsed="false">
      <c r="A16" s="8" t="n">
        <v>9</v>
      </c>
      <c r="B16" s="8" t="s">
        <v>69</v>
      </c>
      <c r="C16" s="18" t="s">
        <v>51</v>
      </c>
      <c r="D16" s="16" t="s">
        <v>33</v>
      </c>
      <c r="E16" s="8" t="s">
        <v>70</v>
      </c>
      <c r="F16" s="11" t="n">
        <v>3</v>
      </c>
      <c r="G16" s="8" t="n">
        <f aca="false">$H$15+1</f>
        <v>31</v>
      </c>
      <c r="H16" s="8" t="n">
        <f aca="false">G16+F16-1</f>
        <v>33</v>
      </c>
      <c r="I16" s="12" t="n">
        <f aca="false">$B$4+G16</f>
        <v>46318</v>
      </c>
      <c r="J16" s="12" t="n">
        <f aca="false">$B$4+H16</f>
        <v>46320</v>
      </c>
      <c r="K16" s="13" t="s">
        <v>71</v>
      </c>
      <c r="L16" s="14" t="s">
        <v>72</v>
      </c>
      <c r="M16" s="13" t="s">
        <v>73</v>
      </c>
      <c r="N16" s="15" t="s">
        <v>74</v>
      </c>
    </row>
    <row r="17" customFormat="false" ht="31.5" hidden="false" customHeight="true" outlineLevel="0" collapsed="false">
      <c r="A17" s="8" t="n">
        <v>10</v>
      </c>
      <c r="B17" s="8" t="s">
        <v>75</v>
      </c>
      <c r="C17" s="19" t="s">
        <v>76</v>
      </c>
      <c r="D17" s="16" t="s">
        <v>33</v>
      </c>
      <c r="E17" s="8" t="s">
        <v>77</v>
      </c>
      <c r="F17" s="11" t="n">
        <v>10</v>
      </c>
      <c r="G17" s="8" t="n">
        <f aca="false">MAX($H$12,$H$16,$H$11)+1</f>
        <v>34</v>
      </c>
      <c r="H17" s="8" t="n">
        <f aca="false">G17+F17-1</f>
        <v>43</v>
      </c>
      <c r="I17" s="12" t="n">
        <f aca="false">$B$4+G17</f>
        <v>46321</v>
      </c>
      <c r="J17" s="12" t="n">
        <f aca="false">$B$4+H17</f>
        <v>46330</v>
      </c>
      <c r="K17" s="13" t="s">
        <v>78</v>
      </c>
      <c r="L17" s="14" t="s">
        <v>79</v>
      </c>
      <c r="M17" s="13" t="s">
        <v>80</v>
      </c>
      <c r="N17" s="15" t="s">
        <v>81</v>
      </c>
    </row>
    <row r="20" customFormat="false" ht="15" hidden="false" customHeight="true" outlineLevel="0" collapsed="false">
      <c r="A20" s="4" t="s">
        <v>82</v>
      </c>
      <c r="B20" s="20" t="s">
        <v>20</v>
      </c>
      <c r="C20" s="21" t="s">
        <v>51</v>
      </c>
      <c r="D20" s="22" t="s">
        <v>44</v>
      </c>
      <c r="E20" s="23" t="s">
        <v>76</v>
      </c>
    </row>
    <row r="23" customFormat="false" ht="15" hidden="false" customHeight="true" outlineLevel="0" collapsed="false">
      <c r="A23" s="4" t="s">
        <v>83</v>
      </c>
    </row>
    <row r="24" customFormat="false" ht="15" hidden="false" customHeight="true" outlineLevel="0" collapsed="false">
      <c r="A24" s="24" t="s">
        <v>84</v>
      </c>
      <c r="B24" s="24" t="s">
        <v>85</v>
      </c>
      <c r="C24" s="24" t="s">
        <v>86</v>
      </c>
    </row>
    <row r="25" customFormat="false" ht="39.75" hidden="false" customHeight="true" outlineLevel="0" collapsed="false">
      <c r="A25" s="13" t="s">
        <v>87</v>
      </c>
      <c r="B25" s="13" t="s">
        <v>88</v>
      </c>
      <c r="C25" s="13" t="s">
        <v>89</v>
      </c>
    </row>
    <row r="26" customFormat="false" ht="15" hidden="false" customHeight="true" outlineLevel="0" collapsed="false">
      <c r="A26" s="1" t="s">
        <v>87</v>
      </c>
      <c r="B26" s="1" t="s">
        <v>90</v>
      </c>
      <c r="C26" s="1" t="s">
        <v>91</v>
      </c>
    </row>
    <row r="27" customFormat="false" ht="15" hidden="false" customHeight="true" outlineLevel="0" collapsed="false">
      <c r="A27" s="1" t="s">
        <v>87</v>
      </c>
      <c r="B27" s="1" t="s">
        <v>92</v>
      </c>
      <c r="C27" s="1" t="s">
        <v>93</v>
      </c>
    </row>
    <row r="28" customFormat="false" ht="15" hidden="false" customHeight="false" outlineLevel="0" collapsed="false">
      <c r="A28" s="1" t="s">
        <v>87</v>
      </c>
      <c r="B28" s="1" t="s">
        <v>94</v>
      </c>
      <c r="C28" s="1" t="s">
        <v>95</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96</v>
      </c>
      <c r="B1" s="2"/>
      <c r="C1" s="2"/>
      <c r="D1" s="2"/>
      <c r="E1" s="2"/>
      <c r="F1" s="2"/>
      <c r="G1" s="2"/>
      <c r="H1" s="2"/>
    </row>
    <row r="2" customFormat="false" ht="15" hidden="false" customHeight="true" outlineLevel="0" collapsed="false">
      <c r="A2" s="3" t="s">
        <v>97</v>
      </c>
      <c r="B2" s="3"/>
      <c r="C2" s="3"/>
      <c r="D2" s="3"/>
      <c r="E2" s="3"/>
      <c r="F2" s="3"/>
      <c r="G2" s="3"/>
      <c r="H2" s="3"/>
    </row>
    <row r="4" customFormat="false" ht="15" hidden="false" customHeight="true" outlineLevel="0" collapsed="false">
      <c r="A4" s="4" t="s">
        <v>5</v>
      </c>
      <c r="B4" s="4" t="s">
        <v>98</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99</v>
      </c>
      <c r="AX4" s="26" t="s">
        <v>100</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[Not started]</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[Not started]</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[Not started]</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[Not started]</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[Not started]</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[Not started]</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82</v>
      </c>
      <c r="B19" s="20" t="s">
        <v>20</v>
      </c>
      <c r="C19" s="21" t="s">
        <v>51</v>
      </c>
      <c r="D19" s="22" t="s">
        <v>44</v>
      </c>
      <c r="E19" s="23" t="s">
        <v>76</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2026-09-19T22:45:14Z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