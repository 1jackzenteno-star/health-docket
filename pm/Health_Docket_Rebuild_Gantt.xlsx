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<sst xmlns="http://schemas.openxmlformats.org/spreadsheetml/2006/main" count="159" uniqueCount="120">
  <si>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</si>
  <si>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</si>
  <si>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</si>
  <si>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</si>
  <si>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</si>
  <si>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</si>
  <si>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</si>
  <si>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</si>
  <si>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</si>
  <si>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</si>
  <si>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</si>
  <si>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</si>
  <si>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</si>
  <si>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</si>
  <si>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</si>
  <si>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</si>
  <si>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</si>
  <si>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</si>
  <si>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</si>
  <si>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</si>
  <si>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</si>
  <si>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</si>
  <si>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</si>
  <si>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</si>
  <si>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</si>
  <si>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</si>
  <si>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</si>
  <si>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</si>
  <si>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</si>
  <si>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</si>
  <si>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</si>
  <si>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</si>
  <si>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</si>
  <si>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scrapers/nelis.py</t>
  </si>
  <si>
    <t xml:space="preserve">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</si>
  <si>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</si>
  <si>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</si>
  <si>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</si>
  <si>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deploy/render.yaml (or fly.toml); deploy/.env.example</t>
  </si>
  <si>
    <t xml:space="preserve">Jack created the Render account 2026-09-19 — that part genuinely needed him (billing/signup), and it's done. Corrected 2026-09-19: the earlier plan on this row (Postgres add-on) was wrong — it didn't match the design spec (§5.1 recommends SQLite outright, Postgres only if this becomes multi-user or write volume grows a lot, neither true here) or the code Task 5 actually wrote (plain sqlite3, no Postgres driver). Corrected plan: SQLite on a small persistent disk instead. deploy/render.yaml written and committed: web service (plan 0.5c-512mb, /mo) + a 1GB persistent disk (/bin/bash.25/mo) = ~$7.25/mo, cheaper than the old Postgres plan and still within the spec's $5-15/mo ceiling (NFR2). api/db.py and db/migrate.py updated to read the DB path from a DATABASE_PATH env var (falls back to the old repo-relative default for local dev) so the database can live on the disk in production; this surfaced and fixed a real bug (a status-line print that crashed when the DB path was outside the repo). initialDeployHook runs db/migrate.py once on first deploy only, so later redeploys don't wipe Jack's saved focus_areas. Simulated the whole deploy locally (built the DB at an out-of-repo path via DATABASE_PATH, ran the server against it, confirmed /api/health, /api/policy-areas, and a real POST /api/focus-areas all work). Still needs Jack to actually create the Blueprint in the Render dashboard (New -&gt; Blueprint -&gt; connect the GitHub repo) since approving a paid plan is his call, then this task's Verify done check can run against the real live URL. Deployed live 2026-09-19: health-docket-api is running on Render at https://health-docket-api.onrender.com. Hit a real deploy bug along the way -- the first live deploy came up degraded (database file missing) because Render's initialDeployHook runs after the health check already reports success, and ours reports "degraded" instead of failing outright, so Render called the deploy done before the database got built. Fixed by building the database directly in startCommand, before the server opens for traffic, only when the file is missing (so a real restart won't wipe Jack's saved focus_areas). Verify done check passed: hit the live URL from an outside network (WebFetch, not Jack's Mac) -- /api/health returns {"status":"ok","database":"reachable"}, /api/policy-areas returns all 32 real policy areas. Task 4 Done.</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</si>
  <si>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</si>
  <si>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</si>
  <si>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</si>
  <si>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</si>
  <si>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</si>
  <si>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</si>
  <si>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</si>
  <si>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</si>
  <si>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</si>
  <si>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</si>
  <si>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</si>
  <si>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</si>
  <si>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</si>
  <si>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 pipeline/capture_documents.py written 2026-09-19: downloads whatever is at each meeting_documents.source_file_url, saves it under data/documents/&lt;external_id&gt;/&lt;doc id&gt;.&lt;ext&gt; (storage-location call explained in the module docstring — git-committed, not a separate cloud account, matching NFR2), and updates capture_status to captured or not_linked per spec §5's failure-handling rule. Verified locally against a mock HTTP server (fake PDF, fake HTML page, a 404) — all three behaved correctly, and a second run correctly skipped already-processed rows. Could not verify against the real source sites (leg.state.nv.us, southernnevadahealthdistrict.org, etc.) — blocked by network policy from both sandboxes this session, same restriction as Tasks 2/3. Needs Jack to run it from his own terminal to confirm real downloads, same pattern as Task 3's NELIS verification. NOTE for later: capture_status lives only in db/health_docket.db, which db/migrate.py drops and rebuilds from scratch every run — so today this only proves the capture logic works within one run, not that status persists. That's fine for this task's scope but will need addressing (the same way Task 4 needed a persistent disk for focus_areas) before this runs on a real schedule. VERIFIED 2026-09-19: Jack ran it from his own terminal against the real internet. Result: 25 captured, 1 not_linked (www.nnph.org -- SSL certificate verification failure, a real problem with that site's cert, not a script bug). Finding for Task 7: all 10 Southern Nevada Health District captures are byte-identical (1,328,468 bytes) and all 4 Senate HELP Committee captures are byte-identical (282,263 bytes) -- both sources' scraped links point at one generic meetings-listing page rather than a page specific to each meeting. The script did its job correctly; the gap is upstream in what those sources' links resolve to. 25 files committed under data/documents/ (~16MB). Task 6 Done.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</si>
  <si>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</si>
  <si>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</si>
  <si>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</si>
  <si>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T6</t>
  </si>
  <si>
    <t xml:space="preserve">pipeline/extract_text.py</t>
  </si>
  <si>
    <t xml:space="preserve">Needs captured documents from Task 6. pipeline/extract_text.py written and verified 2026-09-19: reads each captured file and fills in extracted_text/extraction_status. Handles .html (BeautifulSoup, scripts/styles stripped) and .pdf (pdfplumber embedded text). Deliberately does NOT implement OCR for a scanned/image PDF yet -- no document in the corpus is actually a scanned image, so there's nothing real to test that against; a no-text PDF is treated as a clean 'failed' case per the spec's own failure-handling rule instead of shipping an untested OCR path (natural fit for later: Claude's vision API, matching the existing anthropic dependency). Verified against all 25 real files Task 6 actually captured (25 extracted, 0 failed, genuine readable text confirmed -- not boilerplate) plus two synthetic test PDFs (one with real text, one with none) to prove the PDF success and failure branches, since no real PDF exists in the corpus yet. Task 7 Done.</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</si>
  <si>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</si>
  <si>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</si>
  <si>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</si>
  <si>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In progress</t>
  </si>
  <si>
    <t xml:space="preserve">T7</t>
  </si>
  <si>
    <t xml:space="preserve">pipeline/tag_subjects.py</t>
  </si>
  <si>
    <t xml:space="preserve">Needs extracted text from Task 7 (now available -- 25/25 documents extracted). Open design question resolved first: legislative_subjects has no predefined taxonomy anywhere in the design spec -- unlike policy_areas (Congress's fixed 32-bucket list, enumerated in Appendix B), the spec only defines "Legislative Subject" generically ("a finer-grained topic beneath a Policy Area, e.g. Medicaid, Behavioral Health") and never points to an enumerated list for it. Confirmed by checking Appendix A/B/C directly (only Policy Areas and tracked bodies are enumerated there) and by api/routes/subjects.py's own docstring: "no real subject taxonomy exists until Task 8." The spec's Risks section (§10) says the same thing directly -- subject-tagging accuracy is explicitly "unproven," to be learned empirically once real extracted text exists to tag. So pipeline/tag_subjects.py creates the taxonomy as it tags: each call gives the model the full policy_areas list plus every legislative_subjects row that already exists (grouped by policy area) and asks it to reuse an existing subject by exact name when one fits, only proposing a new one when nothing does -- this converges over time instead of spawning near-duplicate synonyms ("Medicaid" vs "Medicaid Program Integrity"). Per spec's failure-handling rule for this stage ("below-threshold confidence is stored, not discarded"), every tag the model returns is stored regardless of confidence -- the script only flags low-confidence tags in its own printed log, never filters them out. A meeting_subjects row already tagged_by='human' is never overwritten by a re-tag; only 'ai' rows are replaced. Verified locally with a mocked Anthropic client (no real API calls) across 7 scenarios: new-subject creation, reusing an existing subject by name (no duplicate row), below-threshold confidence stored not discarded, a human-confirmed tag surviving a --force re-tag while a new AI tag is added alongside it, --force cleanly replacing stale AI tags, an invalid policy_area from the model being skipped without crashing, and the default (non---force) run correctly excluding already-tagged meetings. All 7 passed. Not yet run against the real Anthropic API -- neither this cloud workspace nor Jack's Mac sandbox has ANTHROPIC_API_KEY set, same category of gap as Tasks 3/6 needing Jack's own terminal for real network access. Needs Jack to run `python3 pipeline/tag_subjects.py` himself with ANTHROPIC_API_KEY set, then this task's Verify-done check can run against real output.</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</si>
  <si>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</si>
  <si>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</si>
  <si>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</si>
  <si>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Not started</t>
  </si>
  <si>
    <t xml:space="preserve">T8</t>
  </si>
  <si>
    <t xml:space="preserve">pipeline/generate_briefings.py</t>
  </si>
  <si>
    <t xml:space="preserve">Needs real subject tags from Task 8.</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</si>
  <si>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</si>
  <si>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</si>
  <si>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</si>
  <si>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</si>
  <si>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</si>
  <si>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</si>
  <si>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</si>
  <si>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</si>
  <si>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</si>
  <si>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</si>
  <si>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</si>
  <si>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</si>
  <si>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</si>
  <si>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</si>
  <si>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</si>
  <si>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</si>
  <si>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</si>
  <si>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</si>
  <si>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</si>
  <si>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</si>
  <si>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</si>
  <si>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</si>
  <si>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</si>
  <si>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Task 3 verified: Jack ran scrapers/nelis.py himself from his own terminal (the only environment able to reach leg.state.nv.us this session) and got 7 real meetings back, not an empty list. Selectors work as-is — no code changes needed.</t>
  </si>
  <si>
    <t xml:space="preserve">Task 3 (Harden NELIS scraper selectors): Not started -&gt; Done.</t>
  </si>
  <si>
    <t xml:space="preserve">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</si>
  <si>
    <t xml:space="preserve">Task 4 (Provision hosting): Not started -&gt; In progress (account created; service/DB creation deferred to Task 5).</t>
  </si>
  <si>
    <t xml:space="preserve">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</si>
  <si>
    <t xml:space="preserve">Task 5 (Backend API): Not started -&gt; Done.</t>
  </si>
  <si>
    <t xml:space="preserve">Task 4: caught and corrected an earlier mistake on this row — the Postgres add-on picked before Task 5 existed didn't actually match the design spec's own SQLite recommendation or the code Task 5 wrote. Switched to SQLite + a small Render persistent disk, verified the exact plan names and prices against Render's live docs and pricing page (0.5c-512mb = $7/mo, disk = $0.25/GB/mo), wrote deploy/render.yaml + deploy/.env.example, added a DATABASE_PATH override to api/db.py and db/migrate.py (fixing a bug that surfaced during testing), and simulated the full deploy locally end to end. Still needs Jack to create the Blueprint on Render himself (billing approval) before the live-URL verify-done check can run.</t>
  </si>
  <si>
    <t xml:space="preserve">Task 4 (Provision hosting): In progress, plan corrected from Postgres to SQLite+disk. Not yet Done — waiting on Jack to create the Blueprint in the Render dashboard.</t>
  </si>
  <si>
    <t xml:space="preserve">Task 4: deployed the Render Blueprint (Jack clicked Deploy). First deploy came up degraded -- a real bug where Render marked the service successfully deployed before the one-time database build had actually run, so every data endpoint 500'd. Diagnosed via the Render dashboard logs (found the exact RuntimeError together with Jack), fixed by moving the database build into startCommand itself so it runs before the server accepts traffic, tested the exact fix locally first, then pushed -- Render auto-synced and redeployed. Verified the live URL from an outside network: /api/health and /api/policy-areas both return correct, real data. Task 4 Done -- all 10 build-plan tasks through Task 5 are now complete.</t>
  </si>
  <si>
    <t xml:space="preserve">Task 4 (Provision hosting): In progress -&gt; Done.</t>
  </si>
  <si>
    <t xml:space="preserve">Task 6 started: wrote pipeline/capture_documents.py, which downloads each meeting_documents row's linked file and updates capture_status (captured / not_linked) per spec §5. Made and documented a storage-location call the spec left open (git-committed under data/documents/, not cloud storage). Verified the logic against a local mock server since the real source sites are blocked from both sandboxes this session. Committed and pushed. Not marked Done yet -- needs Jack to run it against the real internet from his own terminal to confirm actual downloads, same as Task 3.</t>
  </si>
  <si>
    <t xml:space="preserve">Task 6 (Document capture pipeline): Not started -&gt; In progress.</t>
  </si>
  <si>
    <t xml:space="preserve">Task 6 verified: Jack ran pipeline/capture_documents.py from his own terminal against the real internet. 25 of 26 documents captured; 1 not_linked (nnph.org SSL cert failure, a real site problem, not a script bug). Flagged a real finding for Task 7: 10 SNHD and 4 Senate HELP captures are byte-identical within their group -- those two sources only ever link to one generic meetings-listing page, not a page per meeting, so those particular captures are not yet meeting-specific content. Committed the 25 captured files under data/documents/ (~16MB) and pushed.</t>
  </si>
  <si>
    <t xml:space="preserve">Task 6 (Document capture pipeline): In progress -&gt; Done.</t>
  </si>
  <si>
    <t xml:space="preserve">Task 7: wrote pipeline/extract_text.py per spec §5's Extract stage. Handles HTML (BeautifulSoup) and PDF (pdfplumber) captures; scoped OCR out for now since no scanned-image document exists in the corpus to build and verify that against -- a no-text PDF cleanly fails instead, per spec's own rule. Verified against all 25 real files Task 6 captured (25/25 extracted, real readable text confirmed) plus two synthetic PDFs to prove the PDF branches. Committed and pushed.</t>
  </si>
  <si>
    <t xml:space="preserve">Task 7 (Extraction pipeline): Not started -&gt; Done.</t>
  </si>
  <si>
    <t xml:space="preserve">Task 8: resolved the open design question -- legislative_subjects has no predefined taxonomy anywhere in the spec (confirmed via Appendix A/B/C and api/routes/subjects.py's own docstring), so the design is for the LLM to build the taxonomy as it tags, reusing existing subject names by exact match before proposing new ones. Wrote pipeline/tag_subjects.py per spec §5/§9.2's Tag-subjects stage: stores every tag regardless of confidence (never discards below-threshold), protects human-confirmed tags from being overwritten by a re-tag. Verified locally with a mocked Anthropic client across 7 scenarios (new subject creation, subject reuse/dedup, low-confidence storage, human-tag protection under --force, stale-tag replacement under --force, invalid-policy_area handling, default-run filtering) -- all passed. Rebuilt the local database fresh (migrate.py + reconciled capture_status for the 25 already-committed files + re-ran extract_text.py) to confirm the script runs cleanly against real extracted text end to end, short of the actual API call. Committed and pushed. Not marked Done yet -- needs Jack to run it for real with ANTHROPIC_API_KEY set, same pattern as Tasks 3 and 6.</t>
  </si>
  <si>
    <t xml:space="preserve">Task 8 (Subject tagging): Not started -&gt; In progress.</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</si>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</sst>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46284</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21</v>
      </c>
      <c r="E10" s="8" t="s">
        <v>22</v>
      </c>
      <c r="F10" s="11" t="n">
        <v>4</v>
      </c>
      <c r="G10" s="11" t="n">
        <v>0</v>
      </c>
      <c r="H10" s="8" t="n">
        <f aca="false">G10+F10-1</f>
        <v>3</v>
      </c>
      <c r="I10" s="12" t="n">
        <f aca="false">$B$4+G10</f>
        <v>46287</v>
      </c>
      <c r="J10" s="12" t="n">
        <f aca="false">$B$4+H10</f>
        <v>46290</v>
      </c>
      <c r="K10" s="13" t="s">
        <v>33</v>
      </c>
      <c r="L10" s="14" t="s">
        <v>34</v>
      </c>
      <c r="M10" s="13" t="s">
        <v>35</v>
      </c>
      <c r="N10" s="15" t="s">
        <v>36</v>
      </c>
    </row>
    <row r="11" customFormat="false" ht="31.5" hidden="false" customHeight="true" outlineLevel="0" collapsed="false">
      <c r="A11" s="8" t="n">
        <v>4</v>
      </c>
      <c r="B11" s="8" t="s">
        <v>37</v>
      </c>
      <c r="C11" s="9" t="s">
        <v>20</v>
      </c>
      <c r="D11" s="16" t="s">
        <v>21</v>
      </c>
      <c r="E11" s="8" t="s">
        <v>22</v>
      </c>
      <c r="F11" s="11" t="n">
        <v>4</v>
      </c>
      <c r="G11" s="11" t="n">
        <v>3</v>
      </c>
      <c r="H11" s="8" t="n">
        <f aca="false">G11+F11-1</f>
        <v>6</v>
      </c>
      <c r="I11" s="12" t="n">
        <f aca="false">$B$4+G11</f>
        <v>46290</v>
      </c>
      <c r="J11" s="12" t="n">
        <f aca="false">$B$4+H11</f>
        <v>46293</v>
      </c>
      <c r="K11" s="13" t="s">
        <v>38</v>
      </c>
      <c r="L11" s="14" t="s">
        <v>39</v>
      </c>
      <c r="M11" s="13" t="s">
        <v>40</v>
      </c>
      <c r="N11" s="15" t="s">
        <v>41</v>
      </c>
    </row>
    <row r="12" customFormat="false" ht="31.5" hidden="false" customHeight="true" outlineLevel="0" collapsed="false">
      <c r="A12" s="8" t="n">
        <v>5</v>
      </c>
      <c r="B12" s="8" t="s">
        <v>42</v>
      </c>
      <c r="C12" s="17" t="s">
        <v>43</v>
      </c>
      <c r="D12" s="16" t="s">
        <v>21</v>
      </c>
      <c r="E12" s="8" t="s">
        <v>44</v>
      </c>
      <c r="F12" s="11" t="n">
        <v>10</v>
      </c>
      <c r="G12" s="8" t="n">
        <f aca="false">$H$8+1</f>
        <v>7</v>
      </c>
      <c r="H12" s="8" t="n">
        <f aca="false">G12+F12-1</f>
        <v>16</v>
      </c>
      <c r="I12" s="12" t="n">
        <f aca="false">$B$4+G12</f>
        <v>46294</v>
      </c>
      <c r="J12" s="12" t="n">
        <f aca="false">$B$4+H12</f>
        <v>46303</v>
      </c>
      <c r="K12" s="13" t="s">
        <v>45</v>
      </c>
      <c r="L12" s="14" t="s">
        <v>46</v>
      </c>
      <c r="M12" s="13" t="s">
        <v>47</v>
      </c>
      <c r="N12" s="15" t="s">
        <v>48</v>
      </c>
    </row>
    <row r="13" customFormat="false" ht="31.5" hidden="false" customHeight="true" outlineLevel="0" collapsed="false">
      <c r="A13" s="8" t="n">
        <v>6</v>
      </c>
      <c r="B13" s="8" t="s">
        <v>49</v>
      </c>
      <c r="C13" s="18" t="s">
        <v>50</v>
      </c>
      <c r="D13" s="16" t="s">
        <v>21</v>
      </c>
      <c r="E13" s="8" t="s">
        <v>51</v>
      </c>
      <c r="F13" s="11" t="n">
        <v>10</v>
      </c>
      <c r="G13" s="8" t="n">
        <f aca="false">MAX($H$8,$H$9,$H$10)+1</f>
        <v>7</v>
      </c>
      <c r="H13" s="8" t="n">
        <f aca="false">G13+F13-1</f>
        <v>16</v>
      </c>
      <c r="I13" s="12" t="n">
        <f aca="false">$B$4+G13</f>
        <v>46294</v>
      </c>
      <c r="J13" s="12" t="n">
        <f aca="false">$B$4+H13</f>
        <v>46303</v>
      </c>
      <c r="K13" s="13" t="s">
        <v>52</v>
      </c>
      <c r="L13" s="14" t="s">
        <v>53</v>
      </c>
      <c r="M13" s="13" t="s">
        <v>54</v>
      </c>
      <c r="N13" s="15" t="s">
        <v>55</v>
      </c>
    </row>
    <row r="14" customFormat="false" ht="31.5" hidden="false" customHeight="true" outlineLevel="0" collapsed="false">
      <c r="A14" s="8" t="n">
        <v>7</v>
      </c>
      <c r="B14" s="8" t="s">
        <v>56</v>
      </c>
      <c r="C14" s="18" t="s">
        <v>50</v>
      </c>
      <c r="D14" s="16" t="s">
        <v>21</v>
      </c>
      <c r="E14" s="8" t="s">
        <v>57</v>
      </c>
      <c r="F14" s="11" t="n">
        <v>7</v>
      </c>
      <c r="G14" s="8" t="n">
        <f aca="false">$H$13+1</f>
        <v>17</v>
      </c>
      <c r="H14" s="8" t="n">
        <f aca="false">G14+F14-1</f>
        <v>23</v>
      </c>
      <c r="I14" s="12" t="n">
        <f aca="false">$B$4+G14</f>
        <v>46304</v>
      </c>
      <c r="J14" s="12" t="n">
        <f aca="false">$B$4+H14</f>
        <v>46310</v>
      </c>
      <c r="K14" s="13" t="s">
        <v>58</v>
      </c>
      <c r="L14" s="14" t="s">
        <v>59</v>
      </c>
      <c r="M14" s="13" t="s">
        <v>60</v>
      </c>
      <c r="N14" s="15" t="s">
        <v>61</v>
      </c>
    </row>
    <row r="15" customFormat="false" ht="31.5" hidden="false" customHeight="true" outlineLevel="0" collapsed="false">
      <c r="A15" s="8" t="n">
        <v>8</v>
      </c>
      <c r="B15" s="8" t="s">
        <v>62</v>
      </c>
      <c r="C15" s="18" t="s">
        <v>50</v>
      </c>
      <c r="D15" s="16" t="s">
        <v>63</v>
      </c>
      <c r="E15" s="8" t="s">
        <v>64</v>
      </c>
      <c r="F15" s="11" t="n">
        <v>7</v>
      </c>
      <c r="G15" s="8" t="n">
        <f aca="false">$H$14+1</f>
        <v>24</v>
      </c>
      <c r="H15" s="8" t="n">
        <f aca="false">G15+F15-1</f>
        <v>30</v>
      </c>
      <c r="I15" s="12" t="n">
        <f aca="false">$B$4+G15</f>
        <v>46311</v>
      </c>
      <c r="J15" s="12" t="n">
        <f aca="false">$B$4+H15</f>
        <v>46317</v>
      </c>
      <c r="K15" s="13" t="s">
        <v>65</v>
      </c>
      <c r="L15" s="14" t="s">
        <v>66</v>
      </c>
      <c r="M15" s="13" t="s">
        <v>67</v>
      </c>
      <c r="N15" s="15" t="s">
        <v>68</v>
      </c>
    </row>
    <row r="16" customFormat="false" ht="31.5" hidden="false" customHeight="true" outlineLevel="0" collapsed="false">
      <c r="A16" s="8" t="n">
        <v>9</v>
      </c>
      <c r="B16" s="8" t="s">
        <v>69</v>
      </c>
      <c r="C16" s="18" t="s">
        <v>50</v>
      </c>
      <c r="D16" s="16" t="s">
        <v>70</v>
      </c>
      <c r="E16" s="8" t="s">
        <v>71</v>
      </c>
      <c r="F16" s="11" t="n">
        <v>3</v>
      </c>
      <c r="G16" s="8" t="n">
        <f aca="false">$H$15+1</f>
        <v>31</v>
      </c>
      <c r="H16" s="8" t="n">
        <f aca="false">G16+F16-1</f>
        <v>33</v>
      </c>
      <c r="I16" s="12" t="n">
        <f aca="false">$B$4+G16</f>
        <v>46318</v>
      </c>
      <c r="J16" s="12" t="n">
        <f aca="false">$B$4+H16</f>
        <v>46320</v>
      </c>
      <c r="K16" s="13" t="s">
        <v>72</v>
      </c>
      <c r="L16" s="14" t="s">
        <v>73</v>
      </c>
      <c r="M16" s="13" t="s">
        <v>74</v>
      </c>
      <c r="N16" s="15" t="s">
        <v>75</v>
      </c>
    </row>
    <row r="17" customFormat="false" ht="31.5" hidden="false" customHeight="true" outlineLevel="0" collapsed="false">
      <c r="A17" s="8" t="n">
        <v>10</v>
      </c>
      <c r="B17" s="8" t="s">
        <v>76</v>
      </c>
      <c r="C17" s="19" t="s">
        <v>77</v>
      </c>
      <c r="D17" s="16" t="s">
        <v>70</v>
      </c>
      <c r="E17" s="8" t="s">
        <v>78</v>
      </c>
      <c r="F17" s="11" t="n">
        <v>10</v>
      </c>
      <c r="G17" s="8" t="n">
        <f aca="false">MAX($H$12,$H$16,$H$11)+1</f>
        <v>34</v>
      </c>
      <c r="H17" s="8" t="n">
        <f aca="false">G17+F17-1</f>
        <v>43</v>
      </c>
      <c r="I17" s="12" t="n">
        <f aca="false">$B$4+G17</f>
        <v>46321</v>
      </c>
      <c r="J17" s="12" t="n">
        <f aca="false">$B$4+H17</f>
        <v>46330</v>
      </c>
      <c r="K17" s="13" t="s">
        <v>79</v>
      </c>
      <c r="L17" s="14" t="s">
        <v>80</v>
      </c>
      <c r="M17" s="13" t="s">
        <v>81</v>
      </c>
      <c r="N17" s="15" t="s">
        <v>82</v>
      </c>
    </row>
    <row r="20" customFormat="false" ht="15" hidden="false" customHeight="true" outlineLevel="0" collapsed="false">
      <c r="A20" s="4" t="s">
        <v>83</v>
      </c>
      <c r="B20" s="20" t="s">
        <v>20</v>
      </c>
      <c r="C20" s="21" t="s">
        <v>50</v>
      </c>
      <c r="D20" s="22" t="s">
        <v>43</v>
      </c>
      <c r="E20" s="23" t="s">
        <v>77</v>
      </c>
    </row>
    <row r="23" customFormat="false" ht="15" hidden="false" customHeight="true" outlineLevel="0" collapsed="false">
      <c r="A23" s="4" t="s">
        <v>84</v>
      </c>
    </row>
    <row r="24" customFormat="false" ht="15" hidden="false" customHeight="true" outlineLevel="0" collapsed="false">
      <c r="A24" s="24" t="s">
        <v>85</v>
      </c>
      <c r="B24" s="24" t="s">
        <v>86</v>
      </c>
      <c r="C24" s="24" t="s">
        <v>87</v>
      </c>
    </row>
    <row r="25" customFormat="false" ht="39.75" hidden="false" customHeight="true" outlineLevel="0" collapsed="false">
      <c r="A25" s="13" t="s">
        <v>88</v>
      </c>
      <c r="B25" s="13" t="s">
        <v>89</v>
      </c>
      <c r="C25" s="13" t="s">
        <v>90</v>
      </c>
    </row>
    <row r="26" customFormat="false" ht="15" hidden="false" customHeight="true" outlineLevel="0" collapsed="false">
      <c r="A26" s="1" t="s">
        <v>88</v>
      </c>
      <c r="B26" s="1" t="s">
        <v>91</v>
      </c>
      <c r="C26" s="1" t="s">
        <v>92</v>
      </c>
    </row>
    <row r="27" customFormat="false" ht="15" hidden="false" customHeight="true" outlineLevel="0" collapsed="false">
      <c r="A27" s="1" t="s">
        <v>88</v>
      </c>
      <c r="B27" s="1" t="s">
        <v>93</v>
      </c>
      <c r="C27" s="1" t="s">
        <v>94</v>
      </c>
    </row>
    <row r="28" customFormat="false" ht="15" hidden="false" customHeight="true" outlineLevel="0" collapsed="false">
      <c r="A28" s="1" t="s">
        <v>88</v>
      </c>
      <c r="B28" s="1" t="s">
        <v>95</v>
      </c>
      <c r="C28" s="1" t="s">
        <v>96</v>
      </c>
    </row>
    <row r="29" customFormat="false" ht="15" hidden="false" customHeight="true" outlineLevel="0" collapsed="false">
      <c r="A29" s="1" t="s">
        <v>88</v>
      </c>
      <c r="B29" s="1" t="s">
        <v>97</v>
      </c>
      <c r="C29" s="1" t="s">
        <v>98</v>
      </c>
    </row>
    <row r="30" customFormat="false" ht="15" hidden="false" customHeight="true" outlineLevel="0" collapsed="false">
      <c r="A30" s="1" t="s">
        <v>88</v>
      </c>
      <c r="B30" s="1" t="s">
        <v>99</v>
      </c>
      <c r="C30" s="1" t="s">
        <v>100</v>
      </c>
    </row>
    <row r="31" customFormat="false" ht="15" hidden="false" customHeight="true" outlineLevel="0" collapsed="false">
      <c r="A31" s="1" t="s">
        <v>88</v>
      </c>
      <c r="B31" s="1" t="s">
        <v>101</v>
      </c>
      <c r="C31" s="1" t="s">
        <v>102</v>
      </c>
    </row>
    <row r="32" customFormat="false" ht="15" hidden="false" customHeight="true" outlineLevel="0" collapsed="false">
      <c r="A32" s="1" t="s">
        <v>88</v>
      </c>
      <c r="B32" s="1" t="s">
        <v>103</v>
      </c>
      <c r="C32" s="1" t="s">
        <v>104</v>
      </c>
    </row>
    <row r="33" customFormat="false" ht="15" hidden="false" customHeight="true" outlineLevel="0" collapsed="false">
      <c r="A33" s="1" t="s">
        <v>88</v>
      </c>
      <c r="B33" s="1" t="s">
        <v>105</v>
      </c>
      <c r="C33" s="1" t="s">
        <v>106</v>
      </c>
    </row>
    <row r="34" customFormat="false" ht="15" hidden="false" customHeight="true" outlineLevel="0" collapsed="false">
      <c r="A34" s="1" t="s">
        <v>88</v>
      </c>
      <c r="B34" s="1" t="s">
        <v>107</v>
      </c>
      <c r="C34" s="1" t="s">
        <v>108</v>
      </c>
    </row>
    <row r="35" customFormat="false" ht="15" hidden="false" customHeight="true" outlineLevel="0" collapsed="false">
      <c r="A35" s="1" t="s">
        <v>88</v>
      </c>
      <c r="B35" s="1" t="s">
        <v>109</v>
      </c>
      <c r="C35" s="1" t="s">
        <v>110</v>
      </c>
    </row>
    <row r="36" customFormat="false" ht="15" hidden="false" customHeight="true" outlineLevel="0" collapsed="false">
      <c r="A36" s="1" t="s">
        <v>88</v>
      </c>
      <c r="B36" s="1" t="s">
        <v>111</v>
      </c>
      <c r="C36" s="1" t="s">
        <v>112</v>
      </c>
    </row>
    <row r="37" customFormat="false" ht="15" hidden="false" customHeight="false" outlineLevel="0" collapsed="false">
      <c r="A37" s="1" t="s">
        <v>88</v>
      </c>
      <c r="B37" s="1" t="s">
        <v>113</v>
      </c>
      <c r="C37" s="1" t="s">
        <v>114</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115</v>
      </c>
      <c r="B1" s="2"/>
      <c r="C1" s="2"/>
      <c r="D1" s="2"/>
      <c r="E1" s="2"/>
      <c r="F1" s="2"/>
      <c r="G1" s="2"/>
      <c r="H1" s="2"/>
    </row>
    <row r="2" customFormat="false" ht="15" hidden="false" customHeight="true" outlineLevel="0" collapsed="false">
      <c r="A2" s="3" t="s">
        <v>116</v>
      </c>
      <c r="B2" s="3"/>
      <c r="C2" s="3"/>
      <c r="D2" s="3"/>
      <c r="E2" s="3"/>
      <c r="F2" s="3"/>
      <c r="G2" s="3"/>
      <c r="H2" s="3"/>
    </row>
    <row r="4" customFormat="false" ht="15" hidden="false" customHeight="true" outlineLevel="0" collapsed="false">
      <c r="A4" s="4" t="s">
        <v>5</v>
      </c>
      <c r="B4" s="4" t="s">
        <v>117</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118</v>
      </c>
      <c r="AX4" s="26" t="s">
        <v>119</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[Done]</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[Done]</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[Done]</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[Done]</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[Done]</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[In progress]</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[Not started]</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83</v>
      </c>
      <c r="B19" s="20" t="s">
        <v>20</v>
      </c>
      <c r="C19" s="21" t="s">
        <v>50</v>
      </c>
      <c r="D19" s="22" t="s">
        <v>43</v>
      </c>
      <c r="E19" s="23" t="s">
        <v>77</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2026-09-20T02:21:41Z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